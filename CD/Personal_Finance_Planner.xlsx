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come" sheetId="2" state="visible" r:id="rId4"/>
    <sheet name="Budget" sheetId="3" state="visible" r:id="rId5"/>
    <sheet name="Expenses" sheetId="4" state="visible" r:id="rId6"/>
    <sheet name="Lists" sheetId="5" state="hidden" r:id="rId7"/>
    <sheet name="Goals" sheetId="6" state="visible" r:id="rId8"/>
    <sheet name="Guid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<sst xmlns="http://schemas.openxmlformats.org/spreadsheetml/2006/main" count="180" uniqueCount="140">
  <si>
    <t xml:space="preserve">  💰 PERSONAL FINANCE DASHBOARD</t>
  </si>
  <si>
    <t xml:space="preserve">Live overview — auto-updates as you fill in Income, Budget &amp; Expenses sheets</t>
  </si>
  <si>
    <t xml:space="preserve">  📊 THIS MONTH AT A GLANCE</t>
  </si>
  <si>
    <t xml:space="preserve">  🎯 BUDGET ALLOCATION</t>
  </si>
  <si>
    <t xml:space="preserve">Total Monthly Income</t>
  </si>
  <si>
    <t xml:space="preserve">Needs (Essentials)</t>
  </si>
  <si>
    <t xml:space="preserve">Total Budgeted</t>
  </si>
  <si>
    <t xml:space="preserve">Wants (Lifestyle)</t>
  </si>
  <si>
    <t xml:space="preserve">Total Actual Expenses</t>
  </si>
  <si>
    <t xml:space="preserve">Savings &amp; Investments</t>
  </si>
  <si>
    <t xml:space="preserve">Net Savings (Income - Spend)</t>
  </si>
  <si>
    <t xml:space="preserve">Total Allocated</t>
  </si>
  <si>
    <t xml:space="preserve">Savings Rate</t>
  </si>
  <si>
    <t xml:space="preserve">Unallocated (Buffer)</t>
  </si>
  <si>
    <t xml:space="preserve">  🏆 GOALS PROGRESS</t>
  </si>
  <si>
    <t xml:space="preserve">Goal</t>
  </si>
  <si>
    <t xml:space="preserve">Target</t>
  </si>
  <si>
    <t xml:space="preserve">Saved</t>
  </si>
  <si>
    <t xml:space="preserve">Progress</t>
  </si>
  <si>
    <t xml:space="preserve">💡 HOW TO USE  →  1) Fill IN Income sheet  2) Set % allocations in Budget sheet  3) Log daily spends in Expenses sheet  4) Add savings goals in Goals sheet  •  Blue cells = your inputs   |   Black = formulas   |   Green = pulled from another sheet</t>
  </si>
  <si>
    <t xml:space="preserve">  💵 MONTHLY INCOME</t>
  </si>
  <si>
    <t xml:space="preserve">Add all your income sources below. Update each month or set as recurring.</t>
  </si>
  <si>
    <t xml:space="preserve">Income Source</t>
  </si>
  <si>
    <t xml:space="preserve">Amount (₹)</t>
  </si>
  <si>
    <t xml:space="preserve">Notes</t>
  </si>
  <si>
    <t xml:space="preserve">Primary Salary (Take-home)</t>
  </si>
  <si>
    <t xml:space="preserve">Net salary after tax &amp; PF</t>
  </si>
  <si>
    <t xml:space="preserve">Bonus / Variable Pay</t>
  </si>
  <si>
    <t xml:space="preserve">Average monthly portion</t>
  </si>
  <si>
    <t xml:space="preserve">Freelance / Side Income</t>
  </si>
  <si>
    <t xml:space="preserve">Rental Income</t>
  </si>
  <si>
    <t xml:space="preserve">Investment Returns (Dividend/Interest)</t>
  </si>
  <si>
    <t xml:space="preserve">Other Income</t>
  </si>
  <si>
    <t xml:space="preserve">TOTAL MONTHLY INCOME</t>
  </si>
  <si>
    <t xml:space="preserve">Projected Annual Income (×12)</t>
  </si>
  <si>
    <t xml:space="preserve">  🎯 BUDGET ALLOCATION PLAN</t>
  </si>
  <si>
    <t xml:space="preserve">Set % for each category. Amounts auto-calculate from your monthly income. Edit categories to fit your life.</t>
  </si>
  <si>
    <t xml:space="preserve">Monthly Income (from Income sheet)</t>
  </si>
  <si>
    <t xml:space="preserve">Category</t>
  </si>
  <si>
    <t xml:space="preserve">% of Income</t>
  </si>
  <si>
    <t xml:space="preserve">Planned (₹)</t>
  </si>
  <si>
    <t xml:space="preserve">Actual Spent (₹)</t>
  </si>
  <si>
    <t xml:space="preserve">Difference</t>
  </si>
  <si>
    <t xml:space="preserve">  🏠 NEEDS — Essentials (target ~50%)</t>
  </si>
  <si>
    <t xml:space="preserve">Rent / Home EMI</t>
  </si>
  <si>
    <t xml:space="preserve">Utilities (Electricity, Water, Gas)</t>
  </si>
  <si>
    <t xml:space="preserve">Internet &amp; Mobile</t>
  </si>
  <si>
    <t xml:space="preserve">Groceries &amp; Household</t>
  </si>
  <si>
    <t xml:space="preserve">Transportation / Fuel</t>
  </si>
  <si>
    <t xml:space="preserve">Insurance Premiums (Health, Life, Vehicle)</t>
  </si>
  <si>
    <t xml:space="preserve">Healthcare / Medicines</t>
  </si>
  <si>
    <t xml:space="preserve">EMIs / Loan Repayments</t>
  </si>
  <si>
    <t xml:space="preserve">Education / School Fees</t>
  </si>
  <si>
    <t xml:space="preserve">Domestic Help / Childcare</t>
  </si>
  <si>
    <t xml:space="preserve">SUBTOTAL — NEEDS</t>
  </si>
  <si>
    <t xml:space="preserve">  ✨ WANTS — Lifestyle (target ~30%)</t>
  </si>
  <si>
    <t xml:space="preserve">Dining Out / Food Delivery</t>
  </si>
  <si>
    <t xml:space="preserve">Entertainment (Movies, OTT, Games)</t>
  </si>
  <si>
    <t xml:space="preserve">Shopping (Clothes, Gadgets)</t>
  </si>
  <si>
    <t xml:space="preserve">Subscriptions (Netflix, Spotify, etc.)</t>
  </si>
  <si>
    <t xml:space="preserve">Personal Care / Grooming</t>
  </si>
  <si>
    <t xml:space="preserve">Travel &amp; Vacations (monthly set-aside)</t>
  </si>
  <si>
    <t xml:space="preserve">Hobbies &amp; Recreation</t>
  </si>
  <si>
    <t xml:space="preserve">Gifts &amp; Celebrations</t>
  </si>
  <si>
    <t xml:space="preserve">Miscellaneous</t>
  </si>
  <si>
    <t xml:space="preserve">SUBTOTAL — WANTS</t>
  </si>
  <si>
    <t xml:space="preserve">  💰 SAVINGS &amp; INVESTMENTS (target ~20%)</t>
  </si>
  <si>
    <t xml:space="preserve">Emergency Fund (Liquid Savings)</t>
  </si>
  <si>
    <t xml:space="preserve">Mutual Fund SIPs (Equity)</t>
  </si>
  <si>
    <t xml:space="preserve">Mutual Fund SIPs (Debt / Hybrid)</t>
  </si>
  <si>
    <t xml:space="preserve">Direct Stocks</t>
  </si>
  <si>
    <t xml:space="preserve">PPF / EPF / VPF</t>
  </si>
  <si>
    <t xml:space="preserve">NPS (Retirement)</t>
  </si>
  <si>
    <t xml:space="preserve">Fixed Deposit / RD</t>
  </si>
  <si>
    <t xml:space="preserve">Gold (SGB / Digital Gold)</t>
  </si>
  <si>
    <t xml:space="preserve">Crypto (high-risk, optional)</t>
  </si>
  <si>
    <t xml:space="preserve">Real Estate Fund / REIT</t>
  </si>
  <si>
    <t xml:space="preserve">Children's Education Fund</t>
  </si>
  <si>
    <t xml:space="preserve">Term Insurance Premium</t>
  </si>
  <si>
    <t xml:space="preserve">Other Investments</t>
  </si>
  <si>
    <t xml:space="preserve">Discretionary Savings</t>
  </si>
  <si>
    <t xml:space="preserve">SUBTOTAL — SAVINGS &amp; INVESTMENTS</t>
  </si>
  <si>
    <t xml:space="preserve">GRAND TOTAL</t>
  </si>
  <si>
    <t xml:space="preserve">Unallocated Income (should be 0% if planned 100%)</t>
  </si>
  <si>
    <t xml:space="preserve">  📝 EXPENSE TRACKER</t>
  </si>
  <si>
    <t xml:space="preserve">Log every expense. Pick the same Category name as in Budget sheet — Actual Spent will auto-update there.</t>
  </si>
  <si>
    <t xml:space="preserve">Date</t>
  </si>
  <si>
    <t xml:space="preserve">Category (must match Budget)</t>
  </si>
  <si>
    <t xml:space="preserve">Notes / Description</t>
  </si>
  <si>
    <t xml:space="preserve">2026-05-01</t>
  </si>
  <si>
    <t xml:space="preserve">May rent</t>
  </si>
  <si>
    <t xml:space="preserve">2026-05-02</t>
  </si>
  <si>
    <t xml:space="preserve">Big Bazaar weekly</t>
  </si>
  <si>
    <t xml:space="preserve">2026-05-03</t>
  </si>
  <si>
    <t xml:space="preserve">Petrol</t>
  </si>
  <si>
    <t xml:space="preserve">2026-05-04</t>
  </si>
  <si>
    <t xml:space="preserve">Swiggy dinner</t>
  </si>
  <si>
    <t xml:space="preserve">2026-05-05</t>
  </si>
  <si>
    <t xml:space="preserve">Nifty Index SIP</t>
  </si>
  <si>
    <t xml:space="preserve">  🏆 SAVINGS &amp; INVESTMENT GOALS</t>
  </si>
  <si>
    <t xml:space="preserve">Set targets, track progress, and see how long until each goal is met at your current saving pace.</t>
  </si>
  <si>
    <t xml:space="preserve">Goal Name</t>
  </si>
  <si>
    <t xml:space="preserve">Target (₹)</t>
  </si>
  <si>
    <t xml:space="preserve">Saved So Far (₹)</t>
  </si>
  <si>
    <t xml:space="preserve">% Complete</t>
  </si>
  <si>
    <t xml:space="preserve">Monthly Contribution</t>
  </si>
  <si>
    <t xml:space="preserve">Months to Goal</t>
  </si>
  <si>
    <t xml:space="preserve">Emergency Fund (6 months expenses)</t>
  </si>
  <si>
    <t xml:space="preserve">Down payment for home</t>
  </si>
  <si>
    <t xml:space="preserve">Vacation - Goa Trip</t>
  </si>
  <si>
    <t xml:space="preserve">New laptop</t>
  </si>
  <si>
    <t xml:space="preserve">Retirement Corpus (long-term)</t>
  </si>
  <si>
    <t xml:space="preserve">  📖 HOW TO USE &amp; FINANCIAL TIPS</t>
  </si>
  <si>
    <t xml:space="preserve">  Quick Start Guide &amp; Personal Finance Principles</t>
  </si>
  <si>
    <t xml:space="preserve">STEP 1  •  Fill in Income sheet</t>
  </si>
  <si>
    <t xml:space="preserve">Enter your monthly take-home from all sources. Total flows to every other sheet automatically.</t>
  </si>
  <si>
    <t xml:space="preserve">STEP 2  •  Set % allocations in Budget sheet</t>
  </si>
  <si>
    <t xml:space="preserve">Default uses the 50/30/20 rule (Needs/Wants/Savings). Tweak the blue % cells until Grand Total = 100%.</t>
  </si>
  <si>
    <t xml:space="preserve">STEP 3  •  Log expenses daily</t>
  </si>
  <si>
    <t xml:space="preserve">Pick category from dropdown so it auto-tallies into Budget's Actual Spent column.</t>
  </si>
  <si>
    <t xml:space="preserve">STEP 4  •  Add goals</t>
  </si>
  <si>
    <t xml:space="preserve">List specific savings goals with target &amp; monthly contribution. The sheet shows months to reach each one.</t>
  </si>
  <si>
    <t xml:space="preserve">STEP 5  •  Review weekly</t>
  </si>
  <si>
    <t xml:space="preserve">Check Dashboard each weekend. Look for red 'Difference' cells — they signal categories you've overspent.</t>
  </si>
  <si>
    <t xml:space="preserve">RULE  •  50 / 30 / 20</t>
  </si>
  <si>
    <t xml:space="preserve">Industry classic: 50% needs, 30% wants, 20% savings &amp; investments. A solid starting point.</t>
  </si>
  <si>
    <t xml:space="preserve">RULE  •  Emergency Fund First</t>
  </si>
  <si>
    <t xml:space="preserve">Build 3–6 months of expenses in a liquid savings account or sweep-in FD before chasing returns.</t>
  </si>
  <si>
    <t xml:space="preserve">RULE  •  Pay Yourself First</t>
  </si>
  <si>
    <t xml:space="preserve">Automate SIPs/investments on salary day so saving isn't an afterthought.</t>
  </si>
  <si>
    <t xml:space="preserve">RULE  •  Diversify Investments</t>
  </si>
  <si>
    <t xml:space="preserve">Mix equity (mutual funds, stocks), debt (PPF, FDs), and gold based on age and risk tolerance.</t>
  </si>
  <si>
    <t xml:space="preserve">RULE  •  Tax-Saving Sections</t>
  </si>
  <si>
    <t xml:space="preserve">In India: 80C (₹1.5L: PPF, ELSS, EPF), 80D (health insurance), NPS (extra ₹50k under 80CCD-1B).</t>
  </si>
  <si>
    <t xml:space="preserve">RULE  •  Insurance ≠ Investment</t>
  </si>
  <si>
    <t xml:space="preserve">Get pure term insurance for life cover and health insurance separately. Don't mix with investments (avoid ULIPs/endowments).</t>
  </si>
  <si>
    <t xml:space="preserve">RULE  •  Avoid Lifestyle Inflation</t>
  </si>
  <si>
    <t xml:space="preserve">When income rises, increase savings rate first — not just spending.</t>
  </si>
  <si>
    <t xml:space="preserve">⚠️ NOTE  •  Not financial advice</t>
  </si>
  <si>
    <t xml:space="preserve">This planner is for personal tracking. For specific decisions on investments, taxes, or insurance, consult a SEBI-registered investment advisor or CA.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</si>
</sst>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₹#,##0;[RED]&quot;₹(&quot;#,##0\);\-"/>
    <numFmt numFmtId="166" formatCode="0.0%;[RED]\(0.0%\);\-"/>
    <numFmt numFmtId="167" formatCode="@"/>
    <numFmt numFmtId="168" formatCode="\₹#,##0.00;[RED]&quot;₹(&quot;#,##0.00\);\-"/>
    <numFmt numFmtId="169" formatCode="yyyy\-mm\-dd"/>
    <numFmt numFmtId="170" formatCode="0;[RED]\-0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E9ECEF"/>
        <bgColor rgb="FFF5F7FA"/>
      </patternFill>
    </fill>
    <fill>
      <patternFill patternType="solid">
        <fgColor rgb="FFF5F7FA"/>
        <bgColor rgb="FFFFFFFF"/>
      </patternFill>
    </fill>
    <fill>
      <patternFill patternType="solid">
        <fgColor rgb="FFFFF8E1"/>
        <bgColor rgb="FFF5F7FA"/>
      </patternFill>
    </fill>
    <fill>
      <patternFill patternType="solid">
        <fgColor rgb="FFE9C46A"/>
        <bgColor rgb="FFBFBFBF"/>
      </patternFill>
    </fill>
    <fill>
      <patternFill patternType="solid">
        <fgColor rgb="FFD4EDDA"/>
        <bgColor rgb="FFE9ECE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8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6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8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3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3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8D7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8E1"/>
      <rgbColor rgb="FFE9ECEF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4EDDA"/>
      <rgbColor rgb="FFFFFF99"/>
      <rgbColor rgb="FF99CCFF"/>
      <rgbColor rgb="FFFF99CC"/>
      <rgbColor rgb="FFCC99FF"/>
      <rgbColor rgb="FFE9C46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4"/>
    <col collapsed="false" customWidth="true" hidden="false" outlineLevel="0" max="5" min="5" style="0" width="28"/>
    <col collapsed="false" customWidth="true" hidden="false" outlineLevel="0" max="6" min="6" style="0" width="18"/>
    <col collapsed="false" customWidth="true" hidden="false" outlineLevel="0" max="7" min="7" style="0" width="3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B4" s="3" t="s">
        <v>2</v>
      </c>
      <c r="C4" s="3"/>
      <c r="E4" s="3" t="s">
        <v>3</v>
      </c>
      <c r="F4" s="3"/>
    </row>
    <row r="5" customFormat="false" ht="21.75" hidden="false" customHeight="true" outlineLevel="0" collapsed="false">
      <c r="B5" s="4" t="s">
        <v>4</v>
      </c>
      <c r="C5" s="5" t="n">
        <f aca="false">Income!C15</f>
        <v>50000</v>
      </c>
      <c r="E5" s="6" t="s">
        <v>5</v>
      </c>
      <c r="F5" s="7" t="n">
        <f aca="false">Budget!E16</f>
        <v>18000</v>
      </c>
    </row>
    <row r="6" customFormat="false" ht="21.75" hidden="false" customHeight="true" outlineLevel="0" collapsed="false">
      <c r="B6" s="6" t="s">
        <v>6</v>
      </c>
      <c r="C6" s="7" t="n">
        <f aca="false">Budget!E45</f>
        <v>23450</v>
      </c>
      <c r="E6" s="6" t="s">
        <v>7</v>
      </c>
      <c r="F6" s="7" t="n">
        <f aca="false">Budget!E27</f>
        <v>450</v>
      </c>
    </row>
    <row r="7" customFormat="false" ht="21.75" hidden="false" customHeight="true" outlineLevel="0" collapsed="false">
      <c r="B7" s="6" t="s">
        <v>8</v>
      </c>
      <c r="C7" s="7" t="n">
        <f aca="false">SUMIF(Expenses!E:E,"&lt;&gt;",Expenses!D:D)</f>
        <v>23450</v>
      </c>
      <c r="E7" s="6" t="s">
        <v>9</v>
      </c>
      <c r="F7" s="7" t="n">
        <f aca="false">Budget!E44</f>
        <v>0</v>
      </c>
    </row>
    <row r="8" customFormat="false" ht="21.75" hidden="false" customHeight="true" outlineLevel="0" collapsed="false">
      <c r="B8" s="4" t="s">
        <v>10</v>
      </c>
      <c r="C8" s="8" t="n">
        <f aca="false">C5-C7</f>
        <v>26550</v>
      </c>
      <c r="E8" s="4" t="s">
        <v>11</v>
      </c>
      <c r="F8" s="8" t="n">
        <f aca="false">F5+F6+F7</f>
        <v>18450</v>
      </c>
    </row>
    <row r="9" customFormat="false" ht="21.75" hidden="false" customHeight="true" outlineLevel="0" collapsed="false">
      <c r="B9" s="4" t="s">
        <v>12</v>
      </c>
      <c r="C9" s="9" t="n">
        <f aca="false">IFERROR(C8/C5,0)</f>
        <v>0.531</v>
      </c>
      <c r="E9" s="4" t="s">
        <v>13</v>
      </c>
      <c r="F9" s="8" t="n">
        <f aca="false">C5-F8</f>
        <v>31550</v>
      </c>
    </row>
    <row r="12" customFormat="false" ht="15" hidden="false" customHeight="false" outlineLevel="0" collapsed="false">
      <c r="B12" s="3" t="s">
        <v>14</v>
      </c>
      <c r="C12" s="3"/>
      <c r="D12" s="3"/>
      <c r="E12" s="3"/>
      <c r="F12" s="3"/>
    </row>
    <row r="13" customFormat="false" ht="64.9" hidden="false" customHeight="false" outlineLevel="0" collapsed="false">
      <c r="B13" s="10" t="s">
        <v>15</v>
      </c>
      <c r="C13" s="10" t="s">
        <v>16</v>
      </c>
      <c r="D13" s="11"/>
      <c r="E13" s="10" t="s">
        <v>17</v>
      </c>
      <c r="F13" s="10" t="s">
        <v>18</v>
      </c>
      <c r="G13" s="10" t="s">
        <v>18</v>
      </c>
    </row>
    <row r="14" customFormat="false" ht="19.5" hidden="false" customHeight="true" outlineLevel="0" collapsed="false">
      <c r="B14" s="12" t="str">
        <f aca="false">IFERROR(Goals!B5,"")</f>
        <v>Emergency Fund (6 months expenses)</v>
      </c>
      <c r="C14" s="7" t="n">
        <f aca="false">IFERROR(Goals!C5,0)</f>
        <v>300000</v>
      </c>
      <c r="D14" s="13"/>
      <c r="E14" s="7" t="n">
        <f aca="false">IFERROR(Goals!D5,0)</f>
        <v>50000</v>
      </c>
      <c r="F14" s="14" t="n">
        <f aca="false">IFERROR(Goals!E5,0)</f>
        <v>0.166666666666667</v>
      </c>
    </row>
    <row r="15" customFormat="false" ht="19.5" hidden="false" customHeight="true" outlineLevel="0" collapsed="false">
      <c r="B15" s="12" t="str">
        <f aca="false">IFERROR(Goals!B6,"")</f>
        <v>Down payment for home</v>
      </c>
      <c r="C15" s="7" t="n">
        <f aca="false">IFERROR(Goals!C6,0)</f>
        <v>1500000</v>
      </c>
      <c r="D15" s="13"/>
      <c r="E15" s="7" t="n">
        <f aca="false">IFERROR(Goals!D6,0)</f>
        <v>100000</v>
      </c>
      <c r="F15" s="14" t="n">
        <f aca="false">IFERROR(Goals!E6,0)</f>
        <v>0.0666666666666667</v>
      </c>
    </row>
    <row r="16" customFormat="false" ht="19.5" hidden="false" customHeight="true" outlineLevel="0" collapsed="false">
      <c r="B16" s="12" t="str">
        <f aca="false">IFERROR(Goals!B7,"")</f>
        <v>Vacation - Goa Trip</v>
      </c>
      <c r="C16" s="7" t="n">
        <f aca="false">IFERROR(Goals!C7,0)</f>
        <v>60000</v>
      </c>
      <c r="D16" s="13"/>
      <c r="E16" s="7" t="n">
        <f aca="false">IFERROR(Goals!D7,0)</f>
        <v>10000</v>
      </c>
      <c r="F16" s="14" t="n">
        <f aca="false">IFERROR(Goals!E7,0)</f>
        <v>0.166666666666667</v>
      </c>
    </row>
    <row r="17" customFormat="false" ht="19.5" hidden="false" customHeight="true" outlineLevel="0" collapsed="false">
      <c r="B17" s="12" t="str">
        <f aca="false">IFERROR(Goals!B8,"")</f>
        <v>New laptop</v>
      </c>
      <c r="C17" s="7" t="n">
        <f aca="false">IFERROR(Goals!C8,0)</f>
        <v>80000</v>
      </c>
      <c r="D17" s="13"/>
      <c r="E17" s="7" t="n">
        <f aca="false">IFERROR(Goals!D8,0)</f>
        <v>0</v>
      </c>
      <c r="F17" s="14" t="n">
        <f aca="false">IFERROR(Goals!E8,0)</f>
        <v>0</v>
      </c>
    </row>
    <row r="18" customFormat="false" ht="19.5" hidden="false" customHeight="true" outlineLevel="0" collapsed="false">
      <c r="B18" s="12" t="str">
        <f aca="false">IFERROR(Goals!B9,"")</f>
        <v>Retirement Corpus (long-term)</v>
      </c>
      <c r="C18" s="7" t="n">
        <f aca="false">IFERROR(Goals!C9,0)</f>
        <v>5000000</v>
      </c>
      <c r="D18" s="13"/>
      <c r="E18" s="7" t="n">
        <f aca="false">IFERROR(Goals!D9,0)</f>
        <v>200000</v>
      </c>
      <c r="F18" s="14" t="n">
        <f aca="false">IFERROR(Goals!E9,0)</f>
        <v>0.04</v>
      </c>
    </row>
    <row r="21" customFormat="false" ht="15" hidden="false" customHeight="true" outlineLevel="0" collapsed="false">
      <c r="B21" s="15" t="s">
        <v>19</v>
      </c>
      <c r="C21" s="15"/>
      <c r="D21" s="15"/>
      <c r="E21" s="15"/>
      <c r="F21" s="15"/>
    </row>
    <row r="22" customFormat="false" ht="15" hidden="false" customHeight="false" outlineLevel="0" collapsed="false">
      <c r="B22" s="15"/>
      <c r="C22" s="15"/>
      <c r="D22" s="15"/>
      <c r="E22" s="15"/>
      <c r="F22" s="15"/>
    </row>
    <row r="23" customFormat="false" ht="15" hidden="false" customHeight="false" outlineLevel="0" collapsed="false">
      <c r="B23" s="15"/>
      <c r="C23" s="15"/>
      <c r="D23" s="15"/>
      <c r="E23" s="15"/>
      <c r="F23" s="15"/>
    </row>
  </sheetData>
  <mergeCells count="6">
    <mergeCell ref="A1:G1"/>
    <mergeCell ref="A2:G2"/>
    <mergeCell ref="B4:C4"/>
    <mergeCell ref="E4:F4"/>
    <mergeCell ref="B12:F12"/>
    <mergeCell ref="B21:F23"/>
  </mergeCells>
  <conditionalFormatting sqref="F14:F18">
    <cfRule type="colorScale" priority="2">
      <colorScale>
        <cfvo type="num" val="0"/>
        <cfvo type="num" val="0.5"/>
        <cfvo type="num" val="1"/>
        <color rgb="FFF8D7DA"/>
        <color rgb="FFFFF3CD"/>
        <color rgb="FFD4ED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20"/>
    <col collapsed="false" customWidth="true" hidden="false" outlineLevel="0" max="4" min="4" style="0" width="25"/>
    <col collapsed="false" customWidth="true" hidden="false" outlineLevel="0" max="5" min="5" style="0" width="3"/>
  </cols>
  <sheetData>
    <row r="1" customFormat="false" ht="37.5" hidden="false" customHeight="true" outlineLevel="0" collapsed="false">
      <c r="A1" s="1" t="s">
        <v>20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21</v>
      </c>
      <c r="B2" s="2"/>
      <c r="C2" s="2"/>
      <c r="D2" s="2"/>
      <c r="E2" s="2"/>
    </row>
    <row r="4" customFormat="false" ht="27.75" hidden="false" customHeight="true" outlineLevel="0" collapsed="false">
      <c r="B4" s="10" t="s">
        <v>22</v>
      </c>
      <c r="C4" s="10" t="s">
        <v>23</v>
      </c>
      <c r="D4" s="10" t="s">
        <v>24</v>
      </c>
    </row>
    <row r="5" customFormat="false" ht="21.75" hidden="false" customHeight="true" outlineLevel="0" collapsed="false">
      <c r="B5" s="6" t="s">
        <v>25</v>
      </c>
      <c r="C5" s="16" t="n">
        <v>50000</v>
      </c>
      <c r="D5" s="17" t="s">
        <v>26</v>
      </c>
    </row>
    <row r="6" customFormat="false" ht="21.75" hidden="false" customHeight="true" outlineLevel="0" collapsed="false">
      <c r="B6" s="6" t="s">
        <v>27</v>
      </c>
      <c r="C6" s="16" t="n">
        <v>0</v>
      </c>
      <c r="D6" s="17" t="s">
        <v>28</v>
      </c>
    </row>
    <row r="7" customFormat="false" ht="21.75" hidden="false" customHeight="true" outlineLevel="0" collapsed="false">
      <c r="B7" s="6" t="s">
        <v>29</v>
      </c>
      <c r="C7" s="16" t="n">
        <v>0</v>
      </c>
      <c r="D7" s="17"/>
    </row>
    <row r="8" customFormat="false" ht="21.75" hidden="false" customHeight="true" outlineLevel="0" collapsed="false">
      <c r="B8" s="6" t="s">
        <v>30</v>
      </c>
      <c r="C8" s="16" t="n">
        <v>0</v>
      </c>
      <c r="D8" s="17"/>
    </row>
    <row r="9" customFormat="false" ht="21.75" hidden="false" customHeight="true" outlineLevel="0" collapsed="false">
      <c r="B9" s="6" t="s">
        <v>31</v>
      </c>
      <c r="C9" s="16" t="n">
        <v>0</v>
      </c>
      <c r="D9" s="17"/>
    </row>
    <row r="10" customFormat="false" ht="21.75" hidden="false" customHeight="true" outlineLevel="0" collapsed="false">
      <c r="B10" s="6" t="s">
        <v>32</v>
      </c>
      <c r="C10" s="16" t="n">
        <v>0</v>
      </c>
      <c r="D10" s="17"/>
    </row>
    <row r="11" customFormat="false" ht="21.75" hidden="false" customHeight="true" outlineLevel="0" collapsed="false">
      <c r="B11" s="6"/>
      <c r="C11" s="16"/>
      <c r="D11" s="17"/>
    </row>
    <row r="12" customFormat="false" ht="21.75" hidden="false" customHeight="true" outlineLevel="0" collapsed="false">
      <c r="B12" s="6"/>
      <c r="C12" s="16"/>
      <c r="D12" s="17"/>
    </row>
    <row r="13" customFormat="false" ht="21.75" hidden="false" customHeight="true" outlineLevel="0" collapsed="false">
      <c r="B13" s="6"/>
      <c r="C13" s="16"/>
      <c r="D13" s="17"/>
    </row>
    <row r="15" customFormat="false" ht="27.75" hidden="false" customHeight="true" outlineLevel="0" collapsed="false">
      <c r="B15" s="18" t="s">
        <v>33</v>
      </c>
      <c r="C15" s="19" t="n">
        <f aca="false">SUM(C5:C13)</f>
        <v>50000</v>
      </c>
      <c r="D15" s="20"/>
    </row>
    <row r="17" customFormat="false" ht="21.75" hidden="false" customHeight="true" outlineLevel="0" collapsed="false">
      <c r="B17" s="4" t="s">
        <v>34</v>
      </c>
      <c r="C17" s="8" t="n">
        <f aca="false">C15*12</f>
        <v>600000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3"/>
  </cols>
  <sheetData>
    <row r="1" customFormat="false" ht="37.5" hidden="false" customHeight="true" outlineLevel="0" collapsed="false">
      <c r="A1" s="1" t="s">
        <v>35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36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B3" s="4" t="s">
        <v>37</v>
      </c>
      <c r="E3" s="21" t="n">
        <f aca="false">Income!C15</f>
        <v>50000</v>
      </c>
    </row>
    <row r="4" customFormat="false" ht="31.5" hidden="false" customHeight="true" outlineLevel="0" collapsed="false">
      <c r="B4" s="10" t="s">
        <v>38</v>
      </c>
      <c r="C4" s="10" t="s">
        <v>39</v>
      </c>
      <c r="D4" s="10" t="s">
        <v>40</v>
      </c>
      <c r="E4" s="10" t="s">
        <v>41</v>
      </c>
      <c r="F4" s="10" t="s">
        <v>42</v>
      </c>
    </row>
    <row r="5" customFormat="false" ht="15" hidden="false" customHeight="false" outlineLevel="0" collapsed="false">
      <c r="B5" s="3" t="s">
        <v>43</v>
      </c>
      <c r="C5" s="3"/>
      <c r="D5" s="3"/>
      <c r="E5" s="3"/>
      <c r="F5" s="3"/>
    </row>
    <row r="6" customFormat="false" ht="19.5" hidden="false" customHeight="true" outlineLevel="0" collapsed="false">
      <c r="B6" s="22" t="s">
        <v>44</v>
      </c>
      <c r="C6" s="23" t="n">
        <v>0.25</v>
      </c>
      <c r="D6" s="24" t="n">
        <f aca="false">$E$3*C6</f>
        <v>12500</v>
      </c>
      <c r="E6" s="25" t="n">
        <f aca="false">SUMIF(Expenses!C:C,B6,Expenses!D:D)</f>
        <v>15000</v>
      </c>
      <c r="F6" s="24" t="n">
        <f aca="false">D6-E6</f>
        <v>-2500</v>
      </c>
    </row>
    <row r="7" customFormat="false" ht="19.5" hidden="false" customHeight="true" outlineLevel="0" collapsed="false">
      <c r="B7" s="22" t="s">
        <v>45</v>
      </c>
      <c r="C7" s="23" t="n">
        <v>0.03</v>
      </c>
      <c r="D7" s="24" t="n">
        <f aca="false">$E$3*C7</f>
        <v>1500</v>
      </c>
      <c r="E7" s="25" t="n">
        <f aca="false">SUMIF(Expenses!C:C,B7,Expenses!D:D)</f>
        <v>0</v>
      </c>
      <c r="F7" s="24" t="n">
        <f aca="false">D7-E7</f>
        <v>1500</v>
      </c>
    </row>
    <row r="8" customFormat="false" ht="19.5" hidden="false" customHeight="true" outlineLevel="0" collapsed="false">
      <c r="B8" s="22" t="s">
        <v>46</v>
      </c>
      <c r="C8" s="23" t="n">
        <v>0.02</v>
      </c>
      <c r="D8" s="24" t="n">
        <f aca="false">$E$3*C8</f>
        <v>1000</v>
      </c>
      <c r="E8" s="25" t="n">
        <f aca="false">SUMIF(Expenses!C:C,B8,Expenses!D:D)</f>
        <v>0</v>
      </c>
      <c r="F8" s="24" t="n">
        <f aca="false">D8-E8</f>
        <v>1000</v>
      </c>
    </row>
    <row r="9" customFormat="false" ht="19.5" hidden="false" customHeight="true" outlineLevel="0" collapsed="false">
      <c r="B9" s="22" t="s">
        <v>47</v>
      </c>
      <c r="C9" s="23" t="n">
        <v>0.08</v>
      </c>
      <c r="D9" s="24" t="n">
        <f aca="false">$E$3*C9</f>
        <v>4000</v>
      </c>
      <c r="E9" s="25" t="n">
        <f aca="false">SUMIF(Expenses!C:C,B9,Expenses!D:D)</f>
        <v>2200</v>
      </c>
      <c r="F9" s="24" t="n">
        <f aca="false">D9-E9</f>
        <v>1800</v>
      </c>
    </row>
    <row r="10" customFormat="false" ht="19.5" hidden="false" customHeight="true" outlineLevel="0" collapsed="false">
      <c r="B10" s="22" t="s">
        <v>48</v>
      </c>
      <c r="C10" s="23" t="n">
        <v>0.05</v>
      </c>
      <c r="D10" s="24" t="n">
        <f aca="false">$E$3*C10</f>
        <v>2500</v>
      </c>
      <c r="E10" s="25" t="n">
        <f aca="false">SUMIF(Expenses!C:C,B10,Expenses!D:D)</f>
        <v>800</v>
      </c>
      <c r="F10" s="24" t="n">
        <f aca="false">D10-E10</f>
        <v>1700</v>
      </c>
    </row>
    <row r="11" customFormat="false" ht="19.5" hidden="false" customHeight="true" outlineLevel="0" collapsed="false">
      <c r="B11" s="22" t="s">
        <v>49</v>
      </c>
      <c r="C11" s="23" t="n">
        <v>0.03</v>
      </c>
      <c r="D11" s="24" t="n">
        <f aca="false">$E$3*C11</f>
        <v>1500</v>
      </c>
      <c r="E11" s="25" t="n">
        <f aca="false">SUMIF(Expenses!C:C,B11,Expenses!D:D)</f>
        <v>0</v>
      </c>
      <c r="F11" s="24" t="n">
        <f aca="false">D11-E11</f>
        <v>1500</v>
      </c>
    </row>
    <row r="12" customFormat="false" ht="19.5" hidden="false" customHeight="true" outlineLevel="0" collapsed="false">
      <c r="B12" s="22" t="s">
        <v>50</v>
      </c>
      <c r="C12" s="23" t="n">
        <v>0.02</v>
      </c>
      <c r="D12" s="24" t="n">
        <f aca="false">$E$3*C12</f>
        <v>1000</v>
      </c>
      <c r="E12" s="25" t="n">
        <f aca="false">SUMIF(Expenses!C:C,B12,Expenses!D:D)</f>
        <v>0</v>
      </c>
      <c r="F12" s="24" t="n">
        <f aca="false">D12-E12</f>
        <v>1000</v>
      </c>
    </row>
    <row r="13" customFormat="false" ht="19.5" hidden="false" customHeight="true" outlineLevel="0" collapsed="false">
      <c r="B13" s="22" t="s">
        <v>51</v>
      </c>
      <c r="C13" s="23" t="n">
        <v>0.02</v>
      </c>
      <c r="D13" s="24" t="n">
        <f aca="false">$E$3*C13</f>
        <v>1000</v>
      </c>
      <c r="E13" s="25" t="n">
        <f aca="false">SUMIF(Expenses!C:C,B13,Expenses!D:D)</f>
        <v>0</v>
      </c>
      <c r="F13" s="24" t="n">
        <f aca="false">D13-E13</f>
        <v>1000</v>
      </c>
    </row>
    <row r="14" customFormat="false" ht="19.5" hidden="false" customHeight="true" outlineLevel="0" collapsed="false">
      <c r="B14" s="22" t="s">
        <v>52</v>
      </c>
      <c r="C14" s="23" t="n">
        <v>0</v>
      </c>
      <c r="D14" s="24" t="n">
        <f aca="false">$E$3*C14</f>
        <v>0</v>
      </c>
      <c r="E14" s="25" t="n">
        <f aca="false">SUMIF(Expenses!C:C,B14,Expenses!D:D)</f>
        <v>0</v>
      </c>
      <c r="F14" s="24" t="n">
        <f aca="false">D14-E14</f>
        <v>0</v>
      </c>
    </row>
    <row r="15" customFormat="false" ht="19.5" hidden="false" customHeight="true" outlineLevel="0" collapsed="false">
      <c r="B15" s="22" t="s">
        <v>53</v>
      </c>
      <c r="C15" s="23" t="n">
        <v>0</v>
      </c>
      <c r="D15" s="24" t="n">
        <f aca="false">$E$3*C15</f>
        <v>0</v>
      </c>
      <c r="E15" s="25" t="n">
        <f aca="false">SUMIF(Expenses!C:C,B15,Expenses!D:D)</f>
        <v>0</v>
      </c>
      <c r="F15" s="24" t="n">
        <f aca="false">D15-E15</f>
        <v>0</v>
      </c>
    </row>
    <row r="16" customFormat="false" ht="24" hidden="false" customHeight="true" outlineLevel="0" collapsed="false">
      <c r="B16" s="26" t="s">
        <v>54</v>
      </c>
      <c r="C16" s="27" t="n">
        <f aca="false">SUM(C6:C15)</f>
        <v>0.5</v>
      </c>
      <c r="D16" s="28" t="n">
        <f aca="false">SUM(D6:D15)</f>
        <v>25000</v>
      </c>
      <c r="E16" s="28" t="n">
        <f aca="false">SUM(E6:E15)</f>
        <v>18000</v>
      </c>
      <c r="F16" s="28" t="n">
        <f aca="false">D16-E16</f>
        <v>7000</v>
      </c>
    </row>
    <row r="17" customFormat="false" ht="15" hidden="false" customHeight="false" outlineLevel="0" collapsed="false">
      <c r="B17" s="3" t="s">
        <v>55</v>
      </c>
      <c r="C17" s="3"/>
      <c r="D17" s="3"/>
      <c r="E17" s="3"/>
      <c r="F17" s="3"/>
    </row>
    <row r="18" customFormat="false" ht="19.5" hidden="false" customHeight="true" outlineLevel="0" collapsed="false">
      <c r="B18" s="22" t="s">
        <v>56</v>
      </c>
      <c r="C18" s="23" t="n">
        <v>0.05</v>
      </c>
      <c r="D18" s="24" t="n">
        <f aca="false">$E$3*C18</f>
        <v>2500</v>
      </c>
      <c r="E18" s="25" t="n">
        <f aca="false">SUMIF(Expenses!C:C,B18,Expenses!D:D)</f>
        <v>450</v>
      </c>
      <c r="F18" s="24" t="n">
        <f aca="false">D18-E18</f>
        <v>2050</v>
      </c>
    </row>
    <row r="19" customFormat="false" ht="19.5" hidden="false" customHeight="true" outlineLevel="0" collapsed="false">
      <c r="B19" s="22" t="s">
        <v>57</v>
      </c>
      <c r="C19" s="23" t="n">
        <v>0.03</v>
      </c>
      <c r="D19" s="24" t="n">
        <f aca="false">$E$3*C19</f>
        <v>1500</v>
      </c>
      <c r="E19" s="25" t="n">
        <f aca="false">SUMIF(Expenses!C:C,B19,Expenses!D:D)</f>
        <v>0</v>
      </c>
      <c r="F19" s="24" t="n">
        <f aca="false">D19-E19</f>
        <v>1500</v>
      </c>
    </row>
    <row r="20" customFormat="false" ht="19.5" hidden="false" customHeight="true" outlineLevel="0" collapsed="false">
      <c r="B20" s="22" t="s">
        <v>58</v>
      </c>
      <c r="C20" s="23" t="n">
        <v>0.05</v>
      </c>
      <c r="D20" s="24" t="n">
        <f aca="false">$E$3*C20</f>
        <v>2500</v>
      </c>
      <c r="E20" s="25" t="n">
        <f aca="false">SUMIF(Expenses!C:C,B20,Expenses!D:D)</f>
        <v>0</v>
      </c>
      <c r="F20" s="24" t="n">
        <f aca="false">D20-E20</f>
        <v>2500</v>
      </c>
    </row>
    <row r="21" customFormat="false" ht="19.5" hidden="false" customHeight="true" outlineLevel="0" collapsed="false">
      <c r="B21" s="22" t="s">
        <v>59</v>
      </c>
      <c r="C21" s="23" t="n">
        <v>0.02</v>
      </c>
      <c r="D21" s="24" t="n">
        <f aca="false">$E$3*C21</f>
        <v>1000</v>
      </c>
      <c r="E21" s="25" t="n">
        <f aca="false">SUMIF(Expenses!C:C,B21,Expenses!D:D)</f>
        <v>0</v>
      </c>
      <c r="F21" s="24" t="n">
        <f aca="false">D21-E21</f>
        <v>1000</v>
      </c>
    </row>
    <row r="22" customFormat="false" ht="19.5" hidden="false" customHeight="true" outlineLevel="0" collapsed="false">
      <c r="B22" s="22" t="s">
        <v>60</v>
      </c>
      <c r="C22" s="23" t="n">
        <v>0.02</v>
      </c>
      <c r="D22" s="24" t="n">
        <f aca="false">$E$3*C22</f>
        <v>1000</v>
      </c>
      <c r="E22" s="25" t="n">
        <f aca="false">SUMIF(Expenses!C:C,B22,Expenses!D:D)</f>
        <v>0</v>
      </c>
      <c r="F22" s="24" t="n">
        <f aca="false">D22-E22</f>
        <v>1000</v>
      </c>
    </row>
    <row r="23" customFormat="false" ht="19.5" hidden="false" customHeight="true" outlineLevel="0" collapsed="false">
      <c r="B23" s="22" t="s">
        <v>61</v>
      </c>
      <c r="C23" s="23" t="n">
        <v>0.05</v>
      </c>
      <c r="D23" s="24" t="n">
        <f aca="false">$E$3*C23</f>
        <v>2500</v>
      </c>
      <c r="E23" s="25" t="n">
        <f aca="false">SUMIF(Expenses!C:C,B23,Expenses!D:D)</f>
        <v>0</v>
      </c>
      <c r="F23" s="24" t="n">
        <f aca="false">D23-E23</f>
        <v>2500</v>
      </c>
    </row>
    <row r="24" customFormat="false" ht="19.5" hidden="false" customHeight="true" outlineLevel="0" collapsed="false">
      <c r="B24" s="22" t="s">
        <v>62</v>
      </c>
      <c r="C24" s="23" t="n">
        <v>0.02</v>
      </c>
      <c r="D24" s="24" t="n">
        <f aca="false">$E$3*C24</f>
        <v>1000</v>
      </c>
      <c r="E24" s="25" t="n">
        <f aca="false">SUMIF(Expenses!C:C,B24,Expenses!D:D)</f>
        <v>0</v>
      </c>
      <c r="F24" s="24" t="n">
        <f aca="false">D24-E24</f>
        <v>1000</v>
      </c>
    </row>
    <row r="25" customFormat="false" ht="19.5" hidden="false" customHeight="true" outlineLevel="0" collapsed="false">
      <c r="B25" s="22" t="s">
        <v>63</v>
      </c>
      <c r="C25" s="23" t="n">
        <v>0.02</v>
      </c>
      <c r="D25" s="24" t="n">
        <f aca="false">$E$3*C25</f>
        <v>1000</v>
      </c>
      <c r="E25" s="25" t="n">
        <f aca="false">SUMIF(Expenses!C:C,B25,Expenses!D:D)</f>
        <v>0</v>
      </c>
      <c r="F25" s="24" t="n">
        <f aca="false">D25-E25</f>
        <v>1000</v>
      </c>
    </row>
    <row r="26" customFormat="false" ht="19.5" hidden="false" customHeight="true" outlineLevel="0" collapsed="false">
      <c r="B26" s="22" t="s">
        <v>64</v>
      </c>
      <c r="C26" s="23" t="n">
        <v>0.04</v>
      </c>
      <c r="D26" s="24" t="n">
        <f aca="false">$E$3*C26</f>
        <v>2000</v>
      </c>
      <c r="E26" s="25" t="n">
        <f aca="false">SUMIF(Expenses!C:C,B26,Expenses!D:D)</f>
        <v>0</v>
      </c>
      <c r="F26" s="24" t="n">
        <f aca="false">D26-E26</f>
        <v>2000</v>
      </c>
    </row>
    <row r="27" customFormat="false" ht="24" hidden="false" customHeight="true" outlineLevel="0" collapsed="false">
      <c r="B27" s="26" t="s">
        <v>65</v>
      </c>
      <c r="C27" s="27" t="n">
        <f aca="false">SUM(C18:C26)</f>
        <v>0.3</v>
      </c>
      <c r="D27" s="28" t="n">
        <f aca="false">SUM(D18:D26)</f>
        <v>15000</v>
      </c>
      <c r="E27" s="28" t="n">
        <f aca="false">SUM(E18:E26)</f>
        <v>450</v>
      </c>
      <c r="F27" s="28" t="n">
        <f aca="false">D27-E27</f>
        <v>14550</v>
      </c>
    </row>
    <row r="28" customFormat="false" ht="15" hidden="false" customHeight="false" outlineLevel="0" collapsed="false">
      <c r="B28" s="3" t="s">
        <v>66</v>
      </c>
      <c r="C28" s="3"/>
      <c r="D28" s="3"/>
      <c r="E28" s="3"/>
      <c r="F28" s="3"/>
    </row>
    <row r="29" customFormat="false" ht="19.5" hidden="false" customHeight="true" outlineLevel="0" collapsed="false">
      <c r="B29" s="22" t="s">
        <v>67</v>
      </c>
      <c r="C29" s="23" t="n">
        <v>0.05</v>
      </c>
      <c r="D29" s="24" t="n">
        <f aca="false">$E$3*C29</f>
        <v>2500</v>
      </c>
      <c r="E29" s="25" t="n">
        <f aca="false">SUMIF(Expenses!C:C,B29,Expenses!D:D)</f>
        <v>0</v>
      </c>
      <c r="F29" s="24" t="n">
        <f aca="false">D29-E29</f>
        <v>2500</v>
      </c>
    </row>
    <row r="30" customFormat="false" ht="19.5" hidden="false" customHeight="true" outlineLevel="0" collapsed="false">
      <c r="B30" s="22" t="s">
        <v>68</v>
      </c>
      <c r="C30" s="23" t="n">
        <v>0.05</v>
      </c>
      <c r="D30" s="24" t="n">
        <f aca="false">$E$3*C30</f>
        <v>2500</v>
      </c>
      <c r="E30" s="25" t="n">
        <f aca="false">SUMIF(Expenses!C:C,B30,Expenses!D:D)</f>
        <v>5000</v>
      </c>
      <c r="F30" s="24" t="n">
        <f aca="false">D30-E30</f>
        <v>-2500</v>
      </c>
    </row>
    <row r="31" customFormat="false" ht="19.5" hidden="false" customHeight="true" outlineLevel="0" collapsed="false">
      <c r="B31" s="22" t="s">
        <v>69</v>
      </c>
      <c r="C31" s="23" t="n">
        <v>0.02</v>
      </c>
      <c r="D31" s="24" t="n">
        <f aca="false">$E$3*C31</f>
        <v>1000</v>
      </c>
      <c r="E31" s="25" t="n">
        <f aca="false">SUMIF(Expenses!C:C,B31,Expenses!D:D)</f>
        <v>0</v>
      </c>
      <c r="F31" s="24" t="n">
        <f aca="false">D31-E31</f>
        <v>1000</v>
      </c>
    </row>
    <row r="32" customFormat="false" ht="19.5" hidden="false" customHeight="true" outlineLevel="0" collapsed="false">
      <c r="B32" s="22" t="s">
        <v>70</v>
      </c>
      <c r="C32" s="23" t="n">
        <v>0.02</v>
      </c>
      <c r="D32" s="24" t="n">
        <f aca="false">$E$3*C32</f>
        <v>1000</v>
      </c>
      <c r="E32" s="25" t="n">
        <f aca="false">SUMIF(Expenses!C:C,B32,Expenses!D:D)</f>
        <v>0</v>
      </c>
      <c r="F32" s="24" t="n">
        <f aca="false">D32-E32</f>
        <v>1000</v>
      </c>
    </row>
    <row r="33" customFormat="false" ht="19.5" hidden="false" customHeight="true" outlineLevel="0" collapsed="false">
      <c r="B33" s="22" t="s">
        <v>71</v>
      </c>
      <c r="C33" s="23" t="n">
        <v>0.02</v>
      </c>
      <c r="D33" s="24" t="n">
        <f aca="false">$E$3*C33</f>
        <v>1000</v>
      </c>
      <c r="E33" s="25" t="n">
        <f aca="false">SUMIF(Expenses!C:C,B33,Expenses!D:D)</f>
        <v>0</v>
      </c>
      <c r="F33" s="24" t="n">
        <f aca="false">D33-E33</f>
        <v>1000</v>
      </c>
    </row>
    <row r="34" customFormat="false" ht="19.5" hidden="false" customHeight="true" outlineLevel="0" collapsed="false">
      <c r="B34" s="22" t="s">
        <v>72</v>
      </c>
      <c r="C34" s="23" t="n">
        <v>0.01</v>
      </c>
      <c r="D34" s="24" t="n">
        <f aca="false">$E$3*C34</f>
        <v>500</v>
      </c>
      <c r="E34" s="25" t="n">
        <f aca="false">SUMIF(Expenses!C:C,B34,Expenses!D:D)</f>
        <v>0</v>
      </c>
      <c r="F34" s="24" t="n">
        <f aca="false">D34-E34</f>
        <v>500</v>
      </c>
    </row>
    <row r="35" customFormat="false" ht="19.5" hidden="false" customHeight="true" outlineLevel="0" collapsed="false">
      <c r="B35" s="22" t="s">
        <v>73</v>
      </c>
      <c r="C35" s="23" t="n">
        <v>0.01</v>
      </c>
      <c r="D35" s="24" t="n">
        <f aca="false">$E$3*C35</f>
        <v>500</v>
      </c>
      <c r="E35" s="25" t="n">
        <f aca="false">SUMIF(Expenses!C:C,B35,Expenses!D:D)</f>
        <v>0</v>
      </c>
      <c r="F35" s="24" t="n">
        <f aca="false">D35-E35</f>
        <v>500</v>
      </c>
    </row>
    <row r="36" customFormat="false" ht="19.5" hidden="false" customHeight="true" outlineLevel="0" collapsed="false">
      <c r="B36" s="22" t="s">
        <v>74</v>
      </c>
      <c r="C36" s="23" t="n">
        <v>0.01</v>
      </c>
      <c r="D36" s="24" t="n">
        <f aca="false">$E$3*C36</f>
        <v>500</v>
      </c>
      <c r="E36" s="25" t="n">
        <f aca="false">SUMIF(Expenses!C:C,B36,Expenses!D:D)</f>
        <v>0</v>
      </c>
      <c r="F36" s="24" t="n">
        <f aca="false">D36-E36</f>
        <v>500</v>
      </c>
    </row>
    <row r="37" customFormat="false" ht="19.5" hidden="false" customHeight="true" outlineLevel="0" collapsed="false">
      <c r="B37" s="22" t="s">
        <v>75</v>
      </c>
      <c r="C37" s="23" t="n">
        <v>0</v>
      </c>
      <c r="D37" s="24" t="n">
        <f aca="false">$E$3*C37</f>
        <v>0</v>
      </c>
      <c r="E37" s="25" t="n">
        <f aca="false">SUMIF(Expenses!C:C,B37,Expenses!D:D)</f>
        <v>0</v>
      </c>
      <c r="F37" s="24" t="n">
        <f aca="false">D37-E37</f>
        <v>0</v>
      </c>
    </row>
    <row r="38" customFormat="false" ht="19.5" hidden="false" customHeight="true" outlineLevel="0" collapsed="false">
      <c r="B38" s="22" t="s">
        <v>76</v>
      </c>
      <c r="C38" s="23" t="n">
        <v>0</v>
      </c>
      <c r="D38" s="24" t="n">
        <f aca="false">$E$3*C38</f>
        <v>0</v>
      </c>
      <c r="E38" s="25" t="n">
        <f aca="false">SUMIF(Expenses!C:C,B38,Expenses!D:D)</f>
        <v>0</v>
      </c>
      <c r="F38" s="24" t="n">
        <f aca="false">D38-E38</f>
        <v>0</v>
      </c>
    </row>
    <row r="39" customFormat="false" ht="19.5" hidden="false" customHeight="true" outlineLevel="0" collapsed="false">
      <c r="B39" s="22" t="s">
        <v>77</v>
      </c>
      <c r="C39" s="23" t="n">
        <v>0</v>
      </c>
      <c r="D39" s="24" t="n">
        <f aca="false">$E$3*C39</f>
        <v>0</v>
      </c>
      <c r="E39" s="25" t="n">
        <f aca="false">SUMIF(Expenses!C:C,B39,Expenses!D:D)</f>
        <v>0</v>
      </c>
      <c r="F39" s="24" t="n">
        <f aca="false">D39-E39</f>
        <v>0</v>
      </c>
    </row>
    <row r="40" customFormat="false" ht="19.5" hidden="false" customHeight="true" outlineLevel="0" collapsed="false">
      <c r="B40" s="22" t="s">
        <v>78</v>
      </c>
      <c r="C40" s="23" t="n">
        <v>0</v>
      </c>
      <c r="D40" s="24" t="n">
        <f aca="false">$E$3*C40</f>
        <v>0</v>
      </c>
      <c r="E40" s="25" t="n">
        <f aca="false">SUMIF(Expenses!C:C,B40,Expenses!D:D)</f>
        <v>0</v>
      </c>
      <c r="F40" s="24" t="n">
        <f aca="false">D40-E40</f>
        <v>0</v>
      </c>
    </row>
    <row r="41" customFormat="false" ht="19.5" hidden="false" customHeight="true" outlineLevel="0" collapsed="false">
      <c r="B41" s="22" t="s">
        <v>79</v>
      </c>
      <c r="C41" s="23" t="n">
        <v>0</v>
      </c>
      <c r="D41" s="24" t="n">
        <f aca="false">$E$3*C41</f>
        <v>0</v>
      </c>
      <c r="E41" s="25" t="n">
        <f aca="false">SUMIF(Expenses!C:C,B41,Expenses!D:D)</f>
        <v>0</v>
      </c>
      <c r="F41" s="24" t="n">
        <f aca="false">D41-E41</f>
        <v>0</v>
      </c>
    </row>
    <row r="42" customFormat="false" ht="19.5" hidden="false" customHeight="true" outlineLevel="0" collapsed="false">
      <c r="B42" s="22" t="s">
        <v>80</v>
      </c>
      <c r="C42" s="23" t="n">
        <v>0.01</v>
      </c>
      <c r="D42" s="24" t="n">
        <f aca="false">$E$3*C42</f>
        <v>500</v>
      </c>
      <c r="E42" s="25" t="n">
        <f aca="false">SUMIF(Expenses!C:C,B42,Expenses!D:D)</f>
        <v>0</v>
      </c>
      <c r="F42" s="24" t="n">
        <f aca="false">D42-E42</f>
        <v>500</v>
      </c>
    </row>
    <row r="43" customFormat="false" ht="24" hidden="false" customHeight="true" outlineLevel="0" collapsed="false">
      <c r="B43" s="26" t="s">
        <v>81</v>
      </c>
      <c r="C43" s="27" t="n">
        <f aca="false">SUM(C29:C42)</f>
        <v>0.2</v>
      </c>
      <c r="D43" s="28" t="n">
        <f aca="false">SUM(D29:D42)</f>
        <v>10000</v>
      </c>
      <c r="E43" s="28" t="n">
        <f aca="false">SUM(E29:E42)</f>
        <v>5000</v>
      </c>
      <c r="F43" s="28" t="n">
        <f aca="false">D43-E43</f>
        <v>5000</v>
      </c>
    </row>
    <row r="45" customFormat="false" ht="27.75" hidden="false" customHeight="true" outlineLevel="0" collapsed="false">
      <c r="B45" s="29" t="s">
        <v>82</v>
      </c>
      <c r="C45" s="30" t="n">
        <f aca="false">C16+C27+C43</f>
        <v>1</v>
      </c>
      <c r="D45" s="31" t="n">
        <f aca="false">D16+D27+D43</f>
        <v>50000</v>
      </c>
      <c r="E45" s="31" t="n">
        <f aca="false">E16+E27+E43</f>
        <v>23450</v>
      </c>
      <c r="F45" s="31" t="n">
        <f aca="false">D45-E45</f>
        <v>26550</v>
      </c>
    </row>
    <row r="47" customFormat="false" ht="21.75" hidden="false" customHeight="true" outlineLevel="0" collapsed="false">
      <c r="B47" s="4" t="s">
        <v>83</v>
      </c>
      <c r="C47" s="9" t="n">
        <f aca="false">1-C45</f>
        <v>0</v>
      </c>
      <c r="D47" s="8" t="n">
        <f aca="false">E3-D45</f>
        <v>0</v>
      </c>
    </row>
  </sheetData>
  <mergeCells count="5">
    <mergeCell ref="A1:G1"/>
    <mergeCell ref="A2:G2"/>
    <mergeCell ref="B5:F5"/>
    <mergeCell ref="B17:F17"/>
    <mergeCell ref="B28:F28"/>
  </mergeCells>
  <conditionalFormatting sqref="F6:F15">
    <cfRule type="cellIs" priority="2" operator="lessThan" aboveAverage="0" equalAverage="0" bottom="0" percent="0" rank="0" text="" dxfId="0">
      <formula>0</formula>
    </cfRule>
  </conditionalFormatting>
  <conditionalFormatting sqref="F18:F26">
    <cfRule type="cellIs" priority="3" operator="lessThan" aboveAverage="0" equalAverage="0" bottom="0" percent="0" rank="0" text="" dxfId="0">
      <formula>0</formula>
    </cfRule>
  </conditionalFormatting>
  <conditionalFormatting sqref="F29:F42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3"/>
  </cols>
  <sheetData>
    <row r="1" customFormat="false" ht="37.5" hidden="false" customHeight="true" outlineLevel="0" collapsed="false">
      <c r="A1" s="1" t="s">
        <v>84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85</v>
      </c>
      <c r="B2" s="2"/>
      <c r="C2" s="2"/>
      <c r="D2" s="2"/>
      <c r="E2" s="2"/>
      <c r="F2" s="2"/>
    </row>
    <row r="4" customFormat="false" ht="31.5" hidden="false" customHeight="true" outlineLevel="0" collapsed="false">
      <c r="B4" s="10" t="s">
        <v>86</v>
      </c>
      <c r="C4" s="10" t="s">
        <v>87</v>
      </c>
      <c r="D4" s="10" t="s">
        <v>23</v>
      </c>
      <c r="E4" s="10" t="s">
        <v>88</v>
      </c>
    </row>
    <row r="5" customFormat="false" ht="19.5" hidden="false" customHeight="true" outlineLevel="0" collapsed="false">
      <c r="B5" s="32" t="s">
        <v>89</v>
      </c>
      <c r="C5" s="33" t="s">
        <v>44</v>
      </c>
      <c r="D5" s="16" t="n">
        <v>15000</v>
      </c>
      <c r="E5" s="33" t="s">
        <v>90</v>
      </c>
    </row>
    <row r="6" customFormat="false" ht="19.5" hidden="false" customHeight="true" outlineLevel="0" collapsed="false">
      <c r="B6" s="32" t="s">
        <v>91</v>
      </c>
      <c r="C6" s="33" t="s">
        <v>47</v>
      </c>
      <c r="D6" s="16" t="n">
        <v>2200</v>
      </c>
      <c r="E6" s="33" t="s">
        <v>92</v>
      </c>
    </row>
    <row r="7" customFormat="false" ht="19.5" hidden="false" customHeight="true" outlineLevel="0" collapsed="false">
      <c r="B7" s="32" t="s">
        <v>93</v>
      </c>
      <c r="C7" s="33" t="s">
        <v>48</v>
      </c>
      <c r="D7" s="16" t="n">
        <v>800</v>
      </c>
      <c r="E7" s="33" t="s">
        <v>94</v>
      </c>
    </row>
    <row r="8" customFormat="false" ht="19.5" hidden="false" customHeight="true" outlineLevel="0" collapsed="false">
      <c r="B8" s="32" t="s">
        <v>95</v>
      </c>
      <c r="C8" s="33" t="s">
        <v>56</v>
      </c>
      <c r="D8" s="16" t="n">
        <v>450</v>
      </c>
      <c r="E8" s="33" t="s">
        <v>96</v>
      </c>
    </row>
    <row r="9" customFormat="false" ht="19.5" hidden="false" customHeight="true" outlineLevel="0" collapsed="false">
      <c r="B9" s="32" t="s">
        <v>97</v>
      </c>
      <c r="C9" s="33" t="s">
        <v>68</v>
      </c>
      <c r="D9" s="16" t="n">
        <v>5000</v>
      </c>
      <c r="E9" s="33" t="s">
        <v>98</v>
      </c>
    </row>
    <row r="10" customFormat="false" ht="18" hidden="false" customHeight="true" outlineLevel="0" collapsed="false">
      <c r="B10" s="32"/>
      <c r="C10" s="33"/>
      <c r="D10" s="16"/>
      <c r="E10" s="33"/>
    </row>
    <row r="11" customFormat="false" ht="18" hidden="false" customHeight="true" outlineLevel="0" collapsed="false">
      <c r="B11" s="32"/>
      <c r="C11" s="33"/>
      <c r="D11" s="16"/>
      <c r="E11" s="33"/>
    </row>
    <row r="12" customFormat="false" ht="18" hidden="false" customHeight="true" outlineLevel="0" collapsed="false">
      <c r="B12" s="32"/>
      <c r="C12" s="33"/>
      <c r="D12" s="16"/>
      <c r="E12" s="33"/>
    </row>
    <row r="13" customFormat="false" ht="18" hidden="false" customHeight="true" outlineLevel="0" collapsed="false">
      <c r="B13" s="32"/>
      <c r="C13" s="33"/>
      <c r="D13" s="16"/>
      <c r="E13" s="33"/>
    </row>
    <row r="14" customFormat="false" ht="18" hidden="false" customHeight="true" outlineLevel="0" collapsed="false">
      <c r="B14" s="32"/>
      <c r="C14" s="33"/>
      <c r="D14" s="16"/>
      <c r="E14" s="33"/>
    </row>
    <row r="15" customFormat="false" ht="18" hidden="false" customHeight="true" outlineLevel="0" collapsed="false">
      <c r="B15" s="32"/>
      <c r="C15" s="33"/>
      <c r="D15" s="16"/>
      <c r="E15" s="33"/>
    </row>
    <row r="16" customFormat="false" ht="18" hidden="false" customHeight="true" outlineLevel="0" collapsed="false">
      <c r="B16" s="32"/>
      <c r="C16" s="33"/>
      <c r="D16" s="16"/>
      <c r="E16" s="33"/>
    </row>
    <row r="17" customFormat="false" ht="18" hidden="false" customHeight="true" outlineLevel="0" collapsed="false">
      <c r="B17" s="32"/>
      <c r="C17" s="33"/>
      <c r="D17" s="16"/>
      <c r="E17" s="33"/>
    </row>
    <row r="18" customFormat="false" ht="18" hidden="false" customHeight="true" outlineLevel="0" collapsed="false">
      <c r="B18" s="32"/>
      <c r="C18" s="33"/>
      <c r="D18" s="16"/>
      <c r="E18" s="33"/>
    </row>
    <row r="19" customFormat="false" ht="18" hidden="false" customHeight="true" outlineLevel="0" collapsed="false">
      <c r="B19" s="32"/>
      <c r="C19" s="33"/>
      <c r="D19" s="16"/>
      <c r="E19" s="33"/>
    </row>
    <row r="20" customFormat="false" ht="18" hidden="false" customHeight="true" outlineLevel="0" collapsed="false">
      <c r="B20" s="32"/>
      <c r="C20" s="33"/>
      <c r="D20" s="16"/>
      <c r="E20" s="33"/>
    </row>
    <row r="21" customFormat="false" ht="18" hidden="false" customHeight="true" outlineLevel="0" collapsed="false">
      <c r="B21" s="32"/>
      <c r="C21" s="33"/>
      <c r="D21" s="16"/>
      <c r="E21" s="33"/>
    </row>
    <row r="22" customFormat="false" ht="18" hidden="false" customHeight="true" outlineLevel="0" collapsed="false">
      <c r="B22" s="32"/>
      <c r="C22" s="33"/>
      <c r="D22" s="16"/>
      <c r="E22" s="33"/>
    </row>
    <row r="23" customFormat="false" ht="18" hidden="false" customHeight="true" outlineLevel="0" collapsed="false">
      <c r="B23" s="32"/>
      <c r="C23" s="33"/>
      <c r="D23" s="16"/>
      <c r="E23" s="33"/>
    </row>
    <row r="24" customFormat="false" ht="18" hidden="false" customHeight="true" outlineLevel="0" collapsed="false">
      <c r="B24" s="32"/>
      <c r="C24" s="33"/>
      <c r="D24" s="16"/>
      <c r="E24" s="33"/>
    </row>
    <row r="25" customFormat="false" ht="18" hidden="false" customHeight="true" outlineLevel="0" collapsed="false">
      <c r="B25" s="32"/>
      <c r="C25" s="33"/>
      <c r="D25" s="16"/>
      <c r="E25" s="33"/>
    </row>
    <row r="26" customFormat="false" ht="18" hidden="false" customHeight="true" outlineLevel="0" collapsed="false">
      <c r="B26" s="32"/>
      <c r="C26" s="33"/>
      <c r="D26" s="16"/>
      <c r="E26" s="33"/>
    </row>
    <row r="27" customFormat="false" ht="18" hidden="false" customHeight="true" outlineLevel="0" collapsed="false">
      <c r="B27" s="32"/>
      <c r="C27" s="33"/>
      <c r="D27" s="16"/>
      <c r="E27" s="33"/>
    </row>
    <row r="28" customFormat="false" ht="18" hidden="false" customHeight="true" outlineLevel="0" collapsed="false">
      <c r="B28" s="32"/>
      <c r="C28" s="33"/>
      <c r="D28" s="16"/>
      <c r="E28" s="33"/>
    </row>
    <row r="29" customFormat="false" ht="18" hidden="false" customHeight="true" outlineLevel="0" collapsed="false">
      <c r="B29" s="32"/>
      <c r="C29" s="33"/>
      <c r="D29" s="16"/>
      <c r="E29" s="33"/>
    </row>
    <row r="30" customFormat="false" ht="18" hidden="false" customHeight="true" outlineLevel="0" collapsed="false">
      <c r="B30" s="32"/>
      <c r="C30" s="33"/>
      <c r="D30" s="16"/>
      <c r="E30" s="33"/>
    </row>
    <row r="31" customFormat="false" ht="18" hidden="false" customHeight="true" outlineLevel="0" collapsed="false">
      <c r="B31" s="32"/>
      <c r="C31" s="33"/>
      <c r="D31" s="16"/>
      <c r="E31" s="33"/>
    </row>
    <row r="32" customFormat="false" ht="18" hidden="false" customHeight="true" outlineLevel="0" collapsed="false">
      <c r="B32" s="32"/>
      <c r="C32" s="33"/>
      <c r="D32" s="16"/>
      <c r="E32" s="33"/>
    </row>
    <row r="33" customFormat="false" ht="18" hidden="false" customHeight="true" outlineLevel="0" collapsed="false">
      <c r="B33" s="32"/>
      <c r="C33" s="33"/>
      <c r="D33" s="16"/>
      <c r="E33" s="33"/>
    </row>
    <row r="34" customFormat="false" ht="18" hidden="false" customHeight="true" outlineLevel="0" collapsed="false">
      <c r="B34" s="32"/>
      <c r="C34" s="33"/>
      <c r="D34" s="16"/>
      <c r="E34" s="33"/>
    </row>
    <row r="35" customFormat="false" ht="18" hidden="false" customHeight="true" outlineLevel="0" collapsed="false">
      <c r="B35" s="32"/>
      <c r="C35" s="33"/>
      <c r="D35" s="16"/>
      <c r="E35" s="33"/>
    </row>
    <row r="36" customFormat="false" ht="18" hidden="false" customHeight="true" outlineLevel="0" collapsed="false">
      <c r="B36" s="32"/>
      <c r="C36" s="33"/>
      <c r="D36" s="16"/>
      <c r="E36" s="33"/>
    </row>
    <row r="37" customFormat="false" ht="18" hidden="false" customHeight="true" outlineLevel="0" collapsed="false">
      <c r="B37" s="32"/>
      <c r="C37" s="33"/>
      <c r="D37" s="16"/>
      <c r="E37" s="33"/>
    </row>
    <row r="38" customFormat="false" ht="18" hidden="false" customHeight="true" outlineLevel="0" collapsed="false">
      <c r="B38" s="32"/>
      <c r="C38" s="33"/>
      <c r="D38" s="16"/>
      <c r="E38" s="33"/>
    </row>
    <row r="39" customFormat="false" ht="18" hidden="false" customHeight="true" outlineLevel="0" collapsed="false">
      <c r="B39" s="32"/>
      <c r="C39" s="33"/>
      <c r="D39" s="16"/>
      <c r="E39" s="33"/>
    </row>
    <row r="40" customFormat="false" ht="18" hidden="false" customHeight="true" outlineLevel="0" collapsed="false">
      <c r="B40" s="32"/>
      <c r="C40" s="33"/>
      <c r="D40" s="16"/>
      <c r="E40" s="33"/>
    </row>
    <row r="41" customFormat="false" ht="18" hidden="false" customHeight="true" outlineLevel="0" collapsed="false">
      <c r="B41" s="32"/>
      <c r="C41" s="33"/>
      <c r="D41" s="16"/>
      <c r="E41" s="33"/>
    </row>
    <row r="42" customFormat="false" ht="18" hidden="false" customHeight="true" outlineLevel="0" collapsed="false">
      <c r="B42" s="32"/>
      <c r="C42" s="33"/>
      <c r="D42" s="16"/>
      <c r="E42" s="33"/>
    </row>
    <row r="43" customFormat="false" ht="18" hidden="false" customHeight="true" outlineLevel="0" collapsed="false">
      <c r="B43" s="32"/>
      <c r="C43" s="33"/>
      <c r="D43" s="16"/>
      <c r="E43" s="33"/>
    </row>
    <row r="44" customFormat="false" ht="18" hidden="false" customHeight="true" outlineLevel="0" collapsed="false">
      <c r="B44" s="32"/>
      <c r="C44" s="33"/>
      <c r="D44" s="16"/>
      <c r="E44" s="33"/>
    </row>
    <row r="45" customFormat="false" ht="18" hidden="false" customHeight="true" outlineLevel="0" collapsed="false">
      <c r="B45" s="32"/>
      <c r="C45" s="33"/>
      <c r="D45" s="16"/>
      <c r="E45" s="33"/>
    </row>
    <row r="46" customFormat="false" ht="18" hidden="false" customHeight="true" outlineLevel="0" collapsed="false">
      <c r="B46" s="32"/>
      <c r="C46" s="33"/>
      <c r="D46" s="16"/>
      <c r="E46" s="33"/>
    </row>
    <row r="47" customFormat="false" ht="18" hidden="false" customHeight="true" outlineLevel="0" collapsed="false">
      <c r="B47" s="32"/>
      <c r="C47" s="33"/>
      <c r="D47" s="16"/>
      <c r="E47" s="33"/>
    </row>
    <row r="48" customFormat="false" ht="18" hidden="false" customHeight="true" outlineLevel="0" collapsed="false">
      <c r="B48" s="32"/>
      <c r="C48" s="33"/>
      <c r="D48" s="16"/>
      <c r="E48" s="33"/>
    </row>
    <row r="49" customFormat="false" ht="18" hidden="false" customHeight="true" outlineLevel="0" collapsed="false">
      <c r="B49" s="32"/>
      <c r="C49" s="33"/>
      <c r="D49" s="16"/>
      <c r="E49" s="33"/>
    </row>
    <row r="50" customFormat="false" ht="18" hidden="false" customHeight="true" outlineLevel="0" collapsed="false">
      <c r="B50" s="32"/>
      <c r="C50" s="33"/>
      <c r="D50" s="16"/>
      <c r="E50" s="33"/>
    </row>
    <row r="51" customFormat="false" ht="18" hidden="false" customHeight="true" outlineLevel="0" collapsed="false">
      <c r="B51" s="32"/>
      <c r="C51" s="33"/>
      <c r="D51" s="16"/>
      <c r="E51" s="33"/>
    </row>
    <row r="52" customFormat="false" ht="18" hidden="false" customHeight="true" outlineLevel="0" collapsed="false">
      <c r="B52" s="32"/>
      <c r="C52" s="33"/>
      <c r="D52" s="16"/>
      <c r="E52" s="33"/>
    </row>
    <row r="53" customFormat="false" ht="18" hidden="false" customHeight="true" outlineLevel="0" collapsed="false">
      <c r="B53" s="32"/>
      <c r="C53" s="33"/>
      <c r="D53" s="16"/>
      <c r="E53" s="33"/>
    </row>
    <row r="54" customFormat="false" ht="18" hidden="false" customHeight="true" outlineLevel="0" collapsed="false">
      <c r="B54" s="32"/>
      <c r="C54" s="33"/>
      <c r="D54" s="16"/>
      <c r="E54" s="33"/>
    </row>
    <row r="55" customFormat="false" ht="18" hidden="false" customHeight="true" outlineLevel="0" collapsed="false">
      <c r="B55" s="32"/>
      <c r="C55" s="33"/>
      <c r="D55" s="16"/>
      <c r="E55" s="33"/>
    </row>
    <row r="56" customFormat="false" ht="18" hidden="false" customHeight="true" outlineLevel="0" collapsed="false">
      <c r="B56" s="32"/>
      <c r="C56" s="33"/>
      <c r="D56" s="16"/>
      <c r="E56" s="33"/>
    </row>
    <row r="57" customFormat="false" ht="18" hidden="false" customHeight="true" outlineLevel="0" collapsed="false">
      <c r="B57" s="32"/>
      <c r="C57" s="33"/>
      <c r="D57" s="16"/>
      <c r="E57" s="33"/>
    </row>
    <row r="58" customFormat="false" ht="18" hidden="false" customHeight="true" outlineLevel="0" collapsed="false">
      <c r="B58" s="32"/>
      <c r="C58" s="33"/>
      <c r="D58" s="16"/>
      <c r="E58" s="33"/>
    </row>
    <row r="59" customFormat="false" ht="18" hidden="false" customHeight="true" outlineLevel="0" collapsed="false">
      <c r="B59" s="32"/>
      <c r="C59" s="33"/>
      <c r="D59" s="16"/>
      <c r="E59" s="33"/>
    </row>
    <row r="60" customFormat="false" ht="18" hidden="false" customHeight="true" outlineLevel="0" collapsed="false">
      <c r="B60" s="32"/>
      <c r="C60" s="33"/>
      <c r="D60" s="16"/>
      <c r="E60" s="33"/>
    </row>
    <row r="61" customFormat="false" ht="18" hidden="false" customHeight="true" outlineLevel="0" collapsed="false">
      <c r="B61" s="32"/>
      <c r="C61" s="33"/>
      <c r="D61" s="16"/>
      <c r="E61" s="33"/>
    </row>
    <row r="62" customFormat="false" ht="18" hidden="false" customHeight="true" outlineLevel="0" collapsed="false">
      <c r="B62" s="32"/>
      <c r="C62" s="33"/>
      <c r="D62" s="16"/>
      <c r="E62" s="33"/>
    </row>
    <row r="63" customFormat="false" ht="18" hidden="false" customHeight="true" outlineLevel="0" collapsed="false">
      <c r="B63" s="32"/>
      <c r="C63" s="33"/>
      <c r="D63" s="16"/>
      <c r="E63" s="33"/>
    </row>
    <row r="64" customFormat="false" ht="18" hidden="false" customHeight="true" outlineLevel="0" collapsed="false">
      <c r="B64" s="32"/>
      <c r="C64" s="33"/>
      <c r="D64" s="16"/>
      <c r="E64" s="33"/>
    </row>
    <row r="65" customFormat="false" ht="18" hidden="false" customHeight="true" outlineLevel="0" collapsed="false">
      <c r="B65" s="32"/>
      <c r="C65" s="33"/>
      <c r="D65" s="16"/>
      <c r="E65" s="33"/>
    </row>
    <row r="66" customFormat="false" ht="18" hidden="false" customHeight="true" outlineLevel="0" collapsed="false">
      <c r="B66" s="32"/>
      <c r="C66" s="33"/>
      <c r="D66" s="16"/>
      <c r="E66" s="33"/>
    </row>
    <row r="67" customFormat="false" ht="18" hidden="false" customHeight="true" outlineLevel="0" collapsed="false">
      <c r="B67" s="32"/>
      <c r="C67" s="33"/>
      <c r="D67" s="16"/>
      <c r="E67" s="33"/>
    </row>
    <row r="68" customFormat="false" ht="18" hidden="false" customHeight="true" outlineLevel="0" collapsed="false">
      <c r="B68" s="32"/>
      <c r="C68" s="33"/>
      <c r="D68" s="16"/>
      <c r="E68" s="33"/>
    </row>
    <row r="69" customFormat="false" ht="18" hidden="false" customHeight="true" outlineLevel="0" collapsed="false">
      <c r="B69" s="32"/>
      <c r="C69" s="33"/>
      <c r="D69" s="16"/>
      <c r="E69" s="33"/>
    </row>
    <row r="70" customFormat="false" ht="18" hidden="false" customHeight="true" outlineLevel="0" collapsed="false">
      <c r="B70" s="32"/>
      <c r="C70" s="33"/>
      <c r="D70" s="16"/>
      <c r="E70" s="33"/>
    </row>
    <row r="71" customFormat="false" ht="18" hidden="false" customHeight="true" outlineLevel="0" collapsed="false">
      <c r="B71" s="32"/>
      <c r="C71" s="33"/>
      <c r="D71" s="16"/>
      <c r="E71" s="33"/>
    </row>
    <row r="72" customFormat="false" ht="18" hidden="false" customHeight="true" outlineLevel="0" collapsed="false">
      <c r="B72" s="32"/>
      <c r="C72" s="33"/>
      <c r="D72" s="16"/>
      <c r="E72" s="33"/>
    </row>
    <row r="73" customFormat="false" ht="18" hidden="false" customHeight="true" outlineLevel="0" collapsed="false">
      <c r="B73" s="32"/>
      <c r="C73" s="33"/>
      <c r="D73" s="16"/>
      <c r="E73" s="33"/>
    </row>
    <row r="74" customFormat="false" ht="18" hidden="false" customHeight="true" outlineLevel="0" collapsed="false">
      <c r="B74" s="32"/>
      <c r="C74" s="33"/>
      <c r="D74" s="16"/>
      <c r="E74" s="33"/>
    </row>
    <row r="75" customFormat="false" ht="18" hidden="false" customHeight="true" outlineLevel="0" collapsed="false">
      <c r="B75" s="32"/>
      <c r="C75" s="33"/>
      <c r="D75" s="16"/>
      <c r="E75" s="33"/>
    </row>
    <row r="76" customFormat="false" ht="18" hidden="false" customHeight="true" outlineLevel="0" collapsed="false">
      <c r="B76" s="32"/>
      <c r="C76" s="33"/>
      <c r="D76" s="16"/>
      <c r="E76" s="33"/>
    </row>
    <row r="77" customFormat="false" ht="18" hidden="false" customHeight="true" outlineLevel="0" collapsed="false">
      <c r="B77" s="32"/>
      <c r="C77" s="33"/>
      <c r="D77" s="16"/>
      <c r="E77" s="33"/>
    </row>
    <row r="78" customFormat="false" ht="18" hidden="false" customHeight="true" outlineLevel="0" collapsed="false">
      <c r="B78" s="32"/>
      <c r="C78" s="33"/>
      <c r="D78" s="16"/>
      <c r="E78" s="33"/>
    </row>
    <row r="79" customFormat="false" ht="18" hidden="false" customHeight="true" outlineLevel="0" collapsed="false">
      <c r="B79" s="32"/>
      <c r="C79" s="33"/>
      <c r="D79" s="16"/>
      <c r="E79" s="33"/>
    </row>
    <row r="80" customFormat="false" ht="18" hidden="false" customHeight="true" outlineLevel="0" collapsed="false">
      <c r="B80" s="32"/>
      <c r="C80" s="33"/>
      <c r="D80" s="16"/>
      <c r="E80" s="33"/>
    </row>
    <row r="81" customFormat="false" ht="18" hidden="false" customHeight="true" outlineLevel="0" collapsed="false">
      <c r="B81" s="32"/>
      <c r="C81" s="33"/>
      <c r="D81" s="16"/>
      <c r="E81" s="33"/>
    </row>
    <row r="82" customFormat="false" ht="18" hidden="false" customHeight="true" outlineLevel="0" collapsed="false">
      <c r="B82" s="32"/>
      <c r="C82" s="33"/>
      <c r="D82" s="16"/>
      <c r="E82" s="33"/>
    </row>
    <row r="83" customFormat="false" ht="18" hidden="false" customHeight="true" outlineLevel="0" collapsed="false">
      <c r="B83" s="32"/>
      <c r="C83" s="33"/>
      <c r="D83" s="16"/>
      <c r="E83" s="33"/>
    </row>
    <row r="84" customFormat="false" ht="18" hidden="false" customHeight="true" outlineLevel="0" collapsed="false">
      <c r="B84" s="32"/>
      <c r="C84" s="33"/>
      <c r="D84" s="16"/>
      <c r="E84" s="33"/>
    </row>
    <row r="85" customFormat="false" ht="18" hidden="false" customHeight="true" outlineLevel="0" collapsed="false">
      <c r="B85" s="32"/>
      <c r="C85" s="33"/>
      <c r="D85" s="16"/>
      <c r="E85" s="33"/>
    </row>
    <row r="86" customFormat="false" ht="18" hidden="false" customHeight="true" outlineLevel="0" collapsed="false">
      <c r="B86" s="32"/>
      <c r="C86" s="33"/>
      <c r="D86" s="16"/>
      <c r="E86" s="33"/>
    </row>
    <row r="87" customFormat="false" ht="18" hidden="false" customHeight="true" outlineLevel="0" collapsed="false">
      <c r="B87" s="32"/>
      <c r="C87" s="33"/>
      <c r="D87" s="16"/>
      <c r="E87" s="33"/>
    </row>
    <row r="88" customFormat="false" ht="18" hidden="false" customHeight="true" outlineLevel="0" collapsed="false">
      <c r="B88" s="32"/>
      <c r="C88" s="33"/>
      <c r="D88" s="16"/>
      <c r="E88" s="33"/>
    </row>
    <row r="89" customFormat="false" ht="18" hidden="false" customHeight="true" outlineLevel="0" collapsed="false">
      <c r="B89" s="32"/>
      <c r="C89" s="33"/>
      <c r="D89" s="16"/>
      <c r="E89" s="33"/>
    </row>
    <row r="90" customFormat="false" ht="18" hidden="false" customHeight="true" outlineLevel="0" collapsed="false">
      <c r="B90" s="32"/>
      <c r="C90" s="33"/>
      <c r="D90" s="16"/>
      <c r="E90" s="33"/>
    </row>
    <row r="91" customFormat="false" ht="18" hidden="false" customHeight="true" outlineLevel="0" collapsed="false">
      <c r="B91" s="32"/>
      <c r="C91" s="33"/>
      <c r="D91" s="16"/>
      <c r="E91" s="33"/>
    </row>
    <row r="92" customFormat="false" ht="18" hidden="false" customHeight="true" outlineLevel="0" collapsed="false">
      <c r="B92" s="32"/>
      <c r="C92" s="33"/>
      <c r="D92" s="16"/>
      <c r="E92" s="33"/>
    </row>
    <row r="93" customFormat="false" ht="18" hidden="false" customHeight="true" outlineLevel="0" collapsed="false">
      <c r="B93" s="32"/>
      <c r="C93" s="33"/>
      <c r="D93" s="16"/>
      <c r="E93" s="33"/>
    </row>
    <row r="94" customFormat="false" ht="18" hidden="false" customHeight="true" outlineLevel="0" collapsed="false">
      <c r="B94" s="32"/>
      <c r="C94" s="33"/>
      <c r="D94" s="16"/>
      <c r="E94" s="33"/>
    </row>
    <row r="95" customFormat="false" ht="18" hidden="false" customHeight="true" outlineLevel="0" collapsed="false">
      <c r="B95" s="32"/>
      <c r="C95" s="33"/>
      <c r="D95" s="16"/>
      <c r="E95" s="33"/>
    </row>
    <row r="96" customFormat="false" ht="18" hidden="false" customHeight="true" outlineLevel="0" collapsed="false">
      <c r="B96" s="32"/>
      <c r="C96" s="33"/>
      <c r="D96" s="16"/>
      <c r="E96" s="33"/>
    </row>
    <row r="97" customFormat="false" ht="18" hidden="false" customHeight="true" outlineLevel="0" collapsed="false">
      <c r="B97" s="32"/>
      <c r="C97" s="33"/>
      <c r="D97" s="16"/>
      <c r="E97" s="33"/>
    </row>
    <row r="98" customFormat="false" ht="18" hidden="false" customHeight="true" outlineLevel="0" collapsed="false">
      <c r="B98" s="32"/>
      <c r="C98" s="33"/>
      <c r="D98" s="16"/>
      <c r="E98" s="33"/>
    </row>
    <row r="99" customFormat="false" ht="18" hidden="false" customHeight="true" outlineLevel="0" collapsed="false">
      <c r="B99" s="32"/>
      <c r="C99" s="33"/>
      <c r="D99" s="16"/>
      <c r="E99" s="33"/>
    </row>
    <row r="100" customFormat="false" ht="18" hidden="false" customHeight="true" outlineLevel="0" collapsed="false">
      <c r="B100" s="32"/>
      <c r="C100" s="33"/>
      <c r="D100" s="16"/>
      <c r="E100" s="33"/>
    </row>
    <row r="101" customFormat="false" ht="18" hidden="false" customHeight="true" outlineLevel="0" collapsed="false">
      <c r="B101" s="32"/>
      <c r="C101" s="33"/>
      <c r="D101" s="16"/>
      <c r="E101" s="33"/>
    </row>
    <row r="102" customFormat="false" ht="18" hidden="false" customHeight="true" outlineLevel="0" collapsed="false">
      <c r="B102" s="32"/>
      <c r="C102" s="33"/>
      <c r="D102" s="16"/>
      <c r="E102" s="33"/>
    </row>
    <row r="103" customFormat="false" ht="18" hidden="false" customHeight="true" outlineLevel="0" collapsed="false">
      <c r="B103" s="32"/>
      <c r="C103" s="33"/>
      <c r="D103" s="16"/>
      <c r="E103" s="33"/>
    </row>
    <row r="104" customFormat="false" ht="18" hidden="false" customHeight="true" outlineLevel="0" collapsed="false">
      <c r="B104" s="32"/>
      <c r="C104" s="33"/>
      <c r="D104" s="16"/>
      <c r="E104" s="33"/>
    </row>
  </sheetData>
  <mergeCells count="2">
    <mergeCell ref="A1:F1"/>
    <mergeCell ref="A2:F2"/>
  </mergeCells>
  <dataValidations count="1">
    <dataValidation allowBlank="true" errorStyle="stop" operator="between" showDropDown="false" showErrorMessage="false" showInputMessage="false" sqref="C5:C104" type="list">
      <formula1>Lists!$A$1:$A$33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44</v>
      </c>
    </row>
    <row r="2" customFormat="false" ht="15" hidden="false" customHeight="false" outlineLevel="0" collapsed="false">
      <c r="A2" s="0" t="s">
        <v>45</v>
      </c>
    </row>
    <row r="3" customFormat="false" ht="15" hidden="false" customHeight="false" outlineLevel="0" collapsed="false">
      <c r="A3" s="0" t="s">
        <v>46</v>
      </c>
    </row>
    <row r="4" customFormat="false" ht="15" hidden="false" customHeight="false" outlineLevel="0" collapsed="false">
      <c r="A4" s="0" t="s">
        <v>47</v>
      </c>
    </row>
    <row r="5" customFormat="false" ht="15" hidden="false" customHeight="false" outlineLevel="0" collapsed="false">
      <c r="A5" s="0" t="s">
        <v>48</v>
      </c>
    </row>
    <row r="6" customFormat="false" ht="15" hidden="false" customHeight="false" outlineLevel="0" collapsed="false">
      <c r="A6" s="0" t="s">
        <v>49</v>
      </c>
    </row>
    <row r="7" customFormat="false" ht="15" hidden="false" customHeight="false" outlineLevel="0" collapsed="false">
      <c r="A7" s="0" t="s">
        <v>50</v>
      </c>
    </row>
    <row r="8" customFormat="false" ht="15" hidden="false" customHeight="false" outlineLevel="0" collapsed="false">
      <c r="A8" s="0" t="s">
        <v>51</v>
      </c>
    </row>
    <row r="9" customFormat="false" ht="15" hidden="false" customHeight="false" outlineLevel="0" collapsed="false">
      <c r="A9" s="0" t="s">
        <v>52</v>
      </c>
    </row>
    <row r="10" customFormat="false" ht="15" hidden="false" customHeight="false" outlineLevel="0" collapsed="false">
      <c r="A10" s="0" t="s">
        <v>53</v>
      </c>
    </row>
    <row r="11" customFormat="false" ht="15" hidden="false" customHeight="false" outlineLevel="0" collapsed="false">
      <c r="A11" s="0" t="s">
        <v>56</v>
      </c>
    </row>
    <row r="12" customFormat="false" ht="15" hidden="false" customHeight="false" outlineLevel="0" collapsed="false">
      <c r="A12" s="0" t="s">
        <v>57</v>
      </c>
    </row>
    <row r="13" customFormat="false" ht="15" hidden="false" customHeight="false" outlineLevel="0" collapsed="false">
      <c r="A13" s="0" t="s">
        <v>58</v>
      </c>
    </row>
    <row r="14" customFormat="false" ht="15" hidden="false" customHeight="false" outlineLevel="0" collapsed="false">
      <c r="A14" s="0" t="s">
        <v>59</v>
      </c>
    </row>
    <row r="15" customFormat="false" ht="15" hidden="false" customHeight="false" outlineLevel="0" collapsed="false">
      <c r="A15" s="0" t="s">
        <v>60</v>
      </c>
    </row>
    <row r="16" customFormat="false" ht="15" hidden="false" customHeight="false" outlineLevel="0" collapsed="false">
      <c r="A16" s="0" t="s">
        <v>61</v>
      </c>
    </row>
    <row r="17" customFormat="false" ht="15" hidden="false" customHeight="false" outlineLevel="0" collapsed="false">
      <c r="A17" s="0" t="s">
        <v>62</v>
      </c>
    </row>
    <row r="18" customFormat="false" ht="15" hidden="false" customHeight="false" outlineLevel="0" collapsed="false">
      <c r="A18" s="0" t="s">
        <v>63</v>
      </c>
    </row>
    <row r="19" customFormat="false" ht="15" hidden="false" customHeight="false" outlineLevel="0" collapsed="false">
      <c r="A19" s="0" t="s">
        <v>64</v>
      </c>
    </row>
    <row r="20" customFormat="false" ht="15" hidden="false" customHeight="false" outlineLevel="0" collapsed="false">
      <c r="A20" s="0" t="s">
        <v>67</v>
      </c>
    </row>
    <row r="21" customFormat="false" ht="15" hidden="false" customHeight="false" outlineLevel="0" collapsed="false">
      <c r="A21" s="0" t="s">
        <v>68</v>
      </c>
    </row>
    <row r="22" customFormat="false" ht="15" hidden="false" customHeight="false" outlineLevel="0" collapsed="false">
      <c r="A22" s="0" t="s">
        <v>69</v>
      </c>
    </row>
    <row r="23" customFormat="false" ht="15" hidden="false" customHeight="false" outlineLevel="0" collapsed="false">
      <c r="A23" s="0" t="s">
        <v>70</v>
      </c>
    </row>
    <row r="24" customFormat="false" ht="15" hidden="false" customHeight="false" outlineLevel="0" collapsed="false">
      <c r="A24" s="0" t="s">
        <v>71</v>
      </c>
    </row>
    <row r="25" customFormat="false" ht="15" hidden="false" customHeight="false" outlineLevel="0" collapsed="false">
      <c r="A25" s="0" t="s">
        <v>72</v>
      </c>
    </row>
    <row r="26" customFormat="false" ht="15" hidden="false" customHeight="false" outlineLevel="0" collapsed="false">
      <c r="A26" s="0" t="s">
        <v>73</v>
      </c>
    </row>
    <row r="27" customFormat="false" ht="15" hidden="false" customHeight="false" outlineLevel="0" collapsed="false">
      <c r="A27" s="0" t="s">
        <v>74</v>
      </c>
    </row>
    <row r="28" customFormat="false" ht="15" hidden="false" customHeight="false" outlineLevel="0" collapsed="false">
      <c r="A28" s="0" t="s">
        <v>75</v>
      </c>
    </row>
    <row r="29" customFormat="false" ht="15" hidden="false" customHeight="false" outlineLevel="0" collapsed="false">
      <c r="A29" s="0" t="s">
        <v>76</v>
      </c>
    </row>
    <row r="30" customFormat="false" ht="15" hidden="false" customHeight="false" outlineLevel="0" collapsed="false">
      <c r="A30" s="0" t="s">
        <v>77</v>
      </c>
    </row>
    <row r="31" customFormat="false" ht="15" hidden="false" customHeight="false" outlineLevel="0" collapsed="false">
      <c r="A31" s="0" t="s">
        <v>78</v>
      </c>
    </row>
    <row r="32" customFormat="false" ht="15" hidden="false" customHeight="false" outlineLevel="0" collapsed="false">
      <c r="A32" s="0" t="s">
        <v>79</v>
      </c>
    </row>
    <row r="33" customFormat="false" ht="15" hidden="false" customHeight="false" outlineLevel="0" collapsed="false">
      <c r="A33" s="0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7" min="6" style="0" width="18"/>
  </cols>
  <sheetData>
    <row r="1" customFormat="false" ht="37.5" hidden="false" customHeight="true" outlineLevel="0" collapsed="false">
      <c r="A1" s="1" t="s">
        <v>99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100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B4" s="10" t="s">
        <v>101</v>
      </c>
      <c r="C4" s="10" t="s">
        <v>102</v>
      </c>
      <c r="D4" s="10" t="s">
        <v>103</v>
      </c>
      <c r="E4" s="10" t="s">
        <v>104</v>
      </c>
      <c r="F4" s="10" t="s">
        <v>105</v>
      </c>
      <c r="G4" s="10" t="s">
        <v>106</v>
      </c>
    </row>
    <row r="5" customFormat="false" ht="21.75" hidden="false" customHeight="true" outlineLevel="0" collapsed="false">
      <c r="B5" s="33" t="s">
        <v>107</v>
      </c>
      <c r="C5" s="16" t="n">
        <v>300000</v>
      </c>
      <c r="D5" s="16" t="n">
        <v>50000</v>
      </c>
      <c r="E5" s="34" t="n">
        <f aca="false">IFERROR(D5/C5,0)</f>
        <v>0.166666666666667</v>
      </c>
      <c r="F5" s="16" t="n">
        <v>5000</v>
      </c>
      <c r="G5" s="35" t="n">
        <f aca="false">IFERROR(IF(F5=0,"Set monthly amt",ROUNDUP((C5-D5)/F5,0)),"-")</f>
        <v>50</v>
      </c>
    </row>
    <row r="6" customFormat="false" ht="21.75" hidden="false" customHeight="true" outlineLevel="0" collapsed="false">
      <c r="B6" s="33" t="s">
        <v>108</v>
      </c>
      <c r="C6" s="16" t="n">
        <v>1500000</v>
      </c>
      <c r="D6" s="16" t="n">
        <v>100000</v>
      </c>
      <c r="E6" s="34" t="n">
        <f aca="false">IFERROR(D6/C6,0)</f>
        <v>0.0666666666666667</v>
      </c>
      <c r="F6" s="16" t="n">
        <v>15000</v>
      </c>
      <c r="G6" s="35" t="n">
        <f aca="false">IFERROR(IF(F6=0,"Set monthly amt",ROUNDUP((C6-D6)/F6,0)),"-")</f>
        <v>94</v>
      </c>
    </row>
    <row r="7" customFormat="false" ht="21.75" hidden="false" customHeight="true" outlineLevel="0" collapsed="false">
      <c r="B7" s="33" t="s">
        <v>109</v>
      </c>
      <c r="C7" s="16" t="n">
        <v>60000</v>
      </c>
      <c r="D7" s="16" t="n">
        <v>10000</v>
      </c>
      <c r="E7" s="34" t="n">
        <f aca="false">IFERROR(D7/C7,0)</f>
        <v>0.166666666666667</v>
      </c>
      <c r="F7" s="16" t="n">
        <v>5000</v>
      </c>
      <c r="G7" s="35" t="n">
        <f aca="false">IFERROR(IF(F7=0,"Set monthly amt",ROUNDUP((C7-D7)/F7,0)),"-")</f>
        <v>10</v>
      </c>
    </row>
    <row r="8" customFormat="false" ht="21.75" hidden="false" customHeight="true" outlineLevel="0" collapsed="false">
      <c r="B8" s="33" t="s">
        <v>110</v>
      </c>
      <c r="C8" s="16" t="n">
        <v>80000</v>
      </c>
      <c r="D8" s="16" t="n">
        <v>0</v>
      </c>
      <c r="E8" s="34" t="n">
        <f aca="false">IFERROR(D8/C8,0)</f>
        <v>0</v>
      </c>
      <c r="F8" s="16" t="n">
        <v>4000</v>
      </c>
      <c r="G8" s="35" t="n">
        <f aca="false">IFERROR(IF(F8=0,"Set monthly amt",ROUNDUP((C8-D8)/F8,0)),"-")</f>
        <v>20</v>
      </c>
    </row>
    <row r="9" customFormat="false" ht="21.75" hidden="false" customHeight="true" outlineLevel="0" collapsed="false">
      <c r="B9" s="33" t="s">
        <v>111</v>
      </c>
      <c r="C9" s="16" t="n">
        <v>5000000</v>
      </c>
      <c r="D9" s="16" t="n">
        <v>200000</v>
      </c>
      <c r="E9" s="34" t="n">
        <f aca="false">IFERROR(D9/C9,0)</f>
        <v>0.04</v>
      </c>
      <c r="F9" s="16" t="n">
        <v>10000</v>
      </c>
      <c r="G9" s="35" t="n">
        <f aca="false">IFERROR(IF(F9=0,"Set monthly amt",ROUNDUP((C9-D9)/F9,0)),"-")</f>
        <v>480</v>
      </c>
    </row>
    <row r="10" customFormat="false" ht="21.75" hidden="false" customHeight="true" outlineLevel="0" collapsed="false">
      <c r="B10" s="33"/>
      <c r="C10" s="16"/>
      <c r="D10" s="16"/>
      <c r="E10" s="34" t="n">
        <f aca="false">IFERROR(D10/C10,0)</f>
        <v>0</v>
      </c>
      <c r="F10" s="16"/>
      <c r="G10" s="35" t="str">
        <f aca="false">IFERROR(IF(F10=0,"",ROUNDUP((C10-D10)/F10,0)),"")</f>
        <v/>
      </c>
    </row>
    <row r="11" customFormat="false" ht="21.75" hidden="false" customHeight="true" outlineLevel="0" collapsed="false">
      <c r="B11" s="33"/>
      <c r="C11" s="16"/>
      <c r="D11" s="16"/>
      <c r="E11" s="34" t="n">
        <f aca="false">IFERROR(D11/C11,0)</f>
        <v>0</v>
      </c>
      <c r="F11" s="16"/>
      <c r="G11" s="35" t="str">
        <f aca="false">IFERROR(IF(F11=0,"",ROUNDUP((C11-D11)/F11,0)),"")</f>
        <v/>
      </c>
    </row>
    <row r="12" customFormat="false" ht="21.75" hidden="false" customHeight="true" outlineLevel="0" collapsed="false">
      <c r="B12" s="33"/>
      <c r="C12" s="16"/>
      <c r="D12" s="16"/>
      <c r="E12" s="34" t="n">
        <f aca="false">IFERROR(D12/C12,0)</f>
        <v>0</v>
      </c>
      <c r="F12" s="16"/>
      <c r="G12" s="35" t="str">
        <f aca="false">IFERROR(IF(F12=0,"",ROUNDUP((C12-D12)/F12,0)),"")</f>
        <v/>
      </c>
    </row>
    <row r="13" customFormat="false" ht="21.75" hidden="false" customHeight="true" outlineLevel="0" collapsed="false">
      <c r="B13" s="33"/>
      <c r="C13" s="16"/>
      <c r="D13" s="16"/>
      <c r="E13" s="34" t="n">
        <f aca="false">IFERROR(D13/C13,0)</f>
        <v>0</v>
      </c>
      <c r="F13" s="16"/>
      <c r="G13" s="35" t="str">
        <f aca="false">IFERROR(IF(F13=0,"",ROUNDUP((C13-D13)/F13,0)),"")</f>
        <v/>
      </c>
    </row>
    <row r="14" customFormat="false" ht="21.75" hidden="false" customHeight="true" outlineLevel="0" collapsed="false">
      <c r="B14" s="33"/>
      <c r="C14" s="16"/>
      <c r="D14" s="16"/>
      <c r="E14" s="34" t="n">
        <f aca="false">IFERROR(D14/C14,0)</f>
        <v>0</v>
      </c>
      <c r="F14" s="16"/>
      <c r="G14" s="35" t="str">
        <f aca="false">IFERROR(IF(F14=0,"",ROUNDUP((C14-D14)/F14,0)),"")</f>
        <v/>
      </c>
    </row>
  </sheetData>
  <mergeCells count="2">
    <mergeCell ref="A1:G1"/>
    <mergeCell ref="A2:G2"/>
  </mergeCells>
  <conditionalFormatting sqref="E5:E14">
    <cfRule type="colorScale" priority="2">
      <colorScale>
        <cfvo type="num" val="0"/>
        <cfvo type="num" val="0.5"/>
        <cfvo type="num" val="1"/>
        <color rgb="FFF8D7DA"/>
        <color rgb="FFFFF3CD"/>
        <color rgb="FFD4EDD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5"/>
    <col collapsed="false" customWidth="true" hidden="false" outlineLevel="0" max="3" min="3" style="0" width="60"/>
    <col collapsed="false" customWidth="true" hidden="false" outlineLevel="0" max="5" min="4" style="0" width="3"/>
  </cols>
  <sheetData>
    <row r="1" customFormat="false" ht="37.5" hidden="false" customHeight="true" outlineLevel="0" collapsed="false">
      <c r="A1" s="1" t="s">
        <v>112</v>
      </c>
      <c r="B1" s="1"/>
      <c r="C1" s="1"/>
      <c r="D1" s="1"/>
      <c r="E1" s="1"/>
    </row>
    <row r="3" customFormat="false" ht="15" hidden="false" customHeight="false" outlineLevel="0" collapsed="false">
      <c r="B3" s="3" t="s">
        <v>113</v>
      </c>
      <c r="C3" s="3"/>
    </row>
    <row r="5" customFormat="false" ht="30" hidden="false" customHeight="true" outlineLevel="0" collapsed="false">
      <c r="B5" s="4" t="s">
        <v>114</v>
      </c>
      <c r="C5" s="36" t="s">
        <v>115</v>
      </c>
    </row>
    <row r="6" customFormat="false" ht="30" hidden="false" customHeight="true" outlineLevel="0" collapsed="false">
      <c r="B6" s="4" t="s">
        <v>116</v>
      </c>
      <c r="C6" s="36" t="s">
        <v>117</v>
      </c>
    </row>
    <row r="7" customFormat="false" ht="30" hidden="false" customHeight="true" outlineLevel="0" collapsed="false">
      <c r="B7" s="4" t="s">
        <v>118</v>
      </c>
      <c r="C7" s="36" t="s">
        <v>119</v>
      </c>
    </row>
    <row r="8" customFormat="false" ht="30" hidden="false" customHeight="true" outlineLevel="0" collapsed="false">
      <c r="B8" s="4" t="s">
        <v>120</v>
      </c>
      <c r="C8" s="36" t="s">
        <v>121</v>
      </c>
    </row>
    <row r="9" customFormat="false" ht="30" hidden="false" customHeight="true" outlineLevel="0" collapsed="false">
      <c r="B9" s="4" t="s">
        <v>122</v>
      </c>
      <c r="C9" s="36" t="s">
        <v>123</v>
      </c>
    </row>
    <row r="11" customFormat="false" ht="30" hidden="false" customHeight="true" outlineLevel="0" collapsed="false">
      <c r="B11" s="4" t="s">
        <v>124</v>
      </c>
      <c r="C11" s="36" t="s">
        <v>125</v>
      </c>
    </row>
    <row r="12" customFormat="false" ht="30" hidden="false" customHeight="true" outlineLevel="0" collapsed="false">
      <c r="B12" s="4" t="s">
        <v>126</v>
      </c>
      <c r="C12" s="36" t="s">
        <v>127</v>
      </c>
    </row>
    <row r="13" customFormat="false" ht="30" hidden="false" customHeight="true" outlineLevel="0" collapsed="false">
      <c r="B13" s="4" t="s">
        <v>128</v>
      </c>
      <c r="C13" s="36" t="s">
        <v>129</v>
      </c>
    </row>
    <row r="14" customFormat="false" ht="30" hidden="false" customHeight="true" outlineLevel="0" collapsed="false">
      <c r="B14" s="4" t="s">
        <v>130</v>
      </c>
      <c r="C14" s="36" t="s">
        <v>131</v>
      </c>
    </row>
    <row r="15" customFormat="false" ht="30" hidden="false" customHeight="true" outlineLevel="0" collapsed="false">
      <c r="B15" s="4" t="s">
        <v>132</v>
      </c>
      <c r="C15" s="36" t="s">
        <v>133</v>
      </c>
    </row>
    <row r="16" customFormat="false" ht="30" hidden="false" customHeight="true" outlineLevel="0" collapsed="false">
      <c r="B16" s="4" t="s">
        <v>134</v>
      </c>
      <c r="C16" s="36" t="s">
        <v>135</v>
      </c>
    </row>
    <row r="17" customFormat="false" ht="30" hidden="false" customHeight="true" outlineLevel="0" collapsed="false">
      <c r="B17" s="4" t="s">
        <v>136</v>
      </c>
      <c r="C17" s="36" t="s">
        <v>137</v>
      </c>
    </row>
    <row r="19" customFormat="false" ht="30" hidden="false" customHeight="true" outlineLevel="0" collapsed="false">
      <c r="B19" s="37" t="s">
        <v>138</v>
      </c>
      <c r="C19" s="38" t="s">
        <v>139</v>
      </c>
    </row>
  </sheetData>
  <mergeCells count="2">
    <mergeCell ref="A1:E1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2026-05-03T03:26:09Z</dcterms:created>
  <dc:creator>openpyxl</dc:creator>
  <dc:description/>
  <dc:language>en-US</dc:language>
  <cp:lastModifiedBy/>
  <dcterms:modified xsi:type="dcterms:W3CDTF">2026-05-03T03:26:09Z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